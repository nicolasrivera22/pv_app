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nicolasriverabueno/Documents/"/>
    </mc:Choice>
  </mc:AlternateContent>
  <xr:revisionPtr revIDLastSave="0" documentId="13_ncr:1_{5728182E-8369-6B4D-88DC-6E0DA30FE150}" xr6:coauthVersionLast="47" xr6:coauthVersionMax="47" xr10:uidLastSave="{00000000-0000-0000-0000-000000000000}"/>
  <bookViews>
    <workbookView xWindow="0" yWindow="760" windowWidth="30240" windowHeight="17680" activeTab="2" xr2:uid="{00000000-000D-0000-FFFF-FFFF00000000}"/>
  </bookViews>
  <sheets>
    <sheet name="Config" sheetId="1" r:id="rId1"/>
    <sheet name="Perfiles" sheetId="2" r:id="rId2"/>
    <sheet name="Catalogos" sheetId="3" r:id="rId3"/>
  </sheets>
  <definedNames>
    <definedName name="alpha_mix">'Config'!$E$4</definedName>
    <definedName name="C_Bat_kWh">'Config'!$E$33</definedName>
    <definedName name="CapEx_FV_base">'Config'!#REF!</definedName>
    <definedName name="E_mes">'Config'!$E$2</definedName>
    <definedName name="N_mods">'Config'!#REF!</definedName>
    <definedName name="Np_inicial">'Config'!#REF!</definedName>
    <definedName name="Ns_inicial">'Config'!#REF!</definedName>
    <definedName name="P_dc_inst">'Config'!#REF!</definedName>
    <definedName name="P_dc_req">'Config'!#REF!</definedName>
    <definedName name="P_mod">'Config'!#REF!</definedName>
    <definedName name="Tipo_Perfil">'Config'!$E$3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3" l="1"/>
  <c r="A8" i="3"/>
  <c r="A9" i="3"/>
  <c r="A10" i="3"/>
  <c r="A11" i="3"/>
  <c r="A12" i="3"/>
  <c r="A13" i="3"/>
  <c r="A14" i="3"/>
  <c r="A7" i="3"/>
  <c r="P1" i="2"/>
  <c r="E3" i="1"/>
  <c r="R4" i="2" s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4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I4" i="2"/>
  <c r="K4" i="2" s="1"/>
  <c r="I5" i="2"/>
  <c r="K5" i="2" s="1"/>
  <c r="I6" i="2"/>
  <c r="K6" i="2" s="1"/>
  <c r="I7" i="2"/>
  <c r="K7" i="2" s="1"/>
  <c r="I8" i="2"/>
  <c r="I9" i="2"/>
  <c r="K9" i="2" s="1"/>
  <c r="I10" i="2"/>
  <c r="I11" i="2"/>
  <c r="I12" i="2"/>
  <c r="I13" i="2"/>
  <c r="K13" i="2" s="1"/>
  <c r="I14" i="2"/>
  <c r="I15" i="2"/>
  <c r="K15" i="2" s="1"/>
  <c r="I16" i="2"/>
  <c r="K16" i="2" s="1"/>
  <c r="I17" i="2"/>
  <c r="K17" i="2" s="1"/>
  <c r="I18" i="2"/>
  <c r="K18" i="2" s="1"/>
  <c r="I19" i="2"/>
  <c r="K19" i="2" s="1"/>
  <c r="I20" i="2"/>
  <c r="K20" i="2" s="1"/>
  <c r="I21" i="2"/>
  <c r="K21" i="2" s="1"/>
  <c r="I22" i="2"/>
  <c r="I23" i="2"/>
  <c r="I24" i="2"/>
  <c r="K24" i="2" s="1"/>
  <c r="I25" i="2"/>
  <c r="I26" i="2"/>
  <c r="K26" i="2" s="1"/>
  <c r="I27" i="2"/>
  <c r="K27" i="2" s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R15" i="2" l="1"/>
  <c r="S15" i="2" s="1"/>
  <c r="R27" i="2"/>
  <c r="S27" i="2" s="1"/>
  <c r="R26" i="2"/>
  <c r="S26" i="2" s="1"/>
  <c r="R16" i="2"/>
  <c r="S16" i="2" s="1"/>
  <c r="K12" i="2"/>
  <c r="K23" i="2"/>
  <c r="R18" i="2"/>
  <c r="S18" i="2" s="1"/>
  <c r="K22" i="2"/>
  <c r="K11" i="2"/>
  <c r="K10" i="2"/>
  <c r="R23" i="2"/>
  <c r="S23" i="2" s="1"/>
  <c r="K8" i="2"/>
  <c r="K25" i="2"/>
  <c r="K14" i="2"/>
  <c r="R17" i="2"/>
  <c r="S17" i="2" s="1"/>
  <c r="R6" i="2"/>
  <c r="S6" i="2" s="1"/>
  <c r="R22" i="2"/>
  <c r="S22" i="2" s="1"/>
  <c r="R7" i="2"/>
  <c r="S7" i="2" s="1"/>
  <c r="R14" i="2"/>
  <c r="S14" i="2" s="1"/>
  <c r="R25" i="2"/>
  <c r="S25" i="2" s="1"/>
  <c r="R11" i="2"/>
  <c r="S11" i="2" s="1"/>
  <c r="R5" i="2"/>
  <c r="S5" i="2" s="1"/>
  <c r="S4" i="2"/>
  <c r="R20" i="2"/>
  <c r="S20" i="2" s="1"/>
  <c r="R9" i="2"/>
  <c r="S9" i="2" s="1"/>
  <c r="R24" i="2"/>
  <c r="S24" i="2" s="1"/>
  <c r="R13" i="2"/>
  <c r="S13" i="2" s="1"/>
  <c r="R12" i="2"/>
  <c r="S12" i="2" s="1"/>
  <c r="R19" i="2"/>
  <c r="S19" i="2" s="1"/>
  <c r="R8" i="2"/>
  <c r="S8" i="2" s="1"/>
  <c r="R21" i="2"/>
  <c r="S21" i="2" s="1"/>
  <c r="R10" i="2"/>
  <c r="S1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Nicolas Rivera Bueno</author>
    <author>Nicolas Rivera (NESO)</author>
  </authors>
  <commentList>
    <comment ref="C2" authorId="0" shapeId="0" xr:uid="{6DD6EEAE-D91F-1A4F-A28F-F932C8A8E7C1}">
      <text>
        <r>
          <rPr>
            <b/>
            <sz val="10"/>
            <color rgb="FF000000"/>
            <rFont val="Tahoma"/>
            <family val="2"/>
          </rPr>
          <t>Nicolas Rivera Bueno: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Consumo eléctrico mensual objetivo del sitio (kWh/mes).</t>
        </r>
      </text>
    </comment>
    <comment ref="C4" authorId="0" shapeId="0" xr:uid="{6C9355EB-43ED-E046-853F-C30D948B3190}">
      <text>
        <r>
          <rPr>
            <b/>
            <sz val="10"/>
            <color rgb="FF000000"/>
            <rFont val="Tahoma"/>
            <family val="2"/>
          </rPr>
          <t>Nicolas Rivera Bueno: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Solo se usa en la tabla de perfil de demanda relativo (Y solo se usa si es este perfil el que se selecciona abajo)</t>
        </r>
      </text>
    </comment>
    <comment ref="C5" authorId="0" shapeId="0" xr:uid="{6951F1DE-C679-9A4B-AA94-9F255E33CDF3}">
      <text>
        <r>
          <rPr>
            <b/>
            <sz val="10"/>
            <color rgb="FF000000"/>
            <rFont val="Tahoma"/>
            <family val="2"/>
          </rPr>
          <t xml:space="preserve">Nicolas Rivera Bueno:
</t>
        </r>
        <r>
          <rPr>
            <sz val="10"/>
            <color rgb="FF000000"/>
            <rFont val="Tahoma"/>
            <family val="2"/>
          </rPr>
          <t>Seleccionar el tipo de perfil que está en la hoja de Perfiles</t>
        </r>
      </text>
    </comment>
    <comment ref="C6" authorId="1" shapeId="0" xr:uid="{BB76D06C-0808-455E-A4C1-DBDBB9B91EE1}">
      <text>
        <r>
          <rPr>
            <b/>
            <sz val="9"/>
            <color indexed="81"/>
            <rFont val="Tahoma"/>
            <family val="2"/>
          </rPr>
          <t>Nicolas Rivera (NESO):</t>
        </r>
        <r>
          <rPr>
            <sz val="9"/>
            <color indexed="81"/>
            <rFont val="Tahoma"/>
            <family val="2"/>
          </rPr>
          <t xml:space="preserve">
Resume pérdidas por temperatura, cables, MPPT, suciedad, etc. Valores típicos: 0.75–0.85.</t>
        </r>
      </text>
    </comment>
    <comment ref="C7" authorId="1" shapeId="0" xr:uid="{8C393988-EE50-4453-9436-3947F1446EAE}">
      <text>
        <r>
          <rPr>
            <b/>
            <sz val="9"/>
            <color indexed="81"/>
            <rFont val="Tahoma"/>
            <family val="2"/>
          </rPr>
          <t>Nicolas Rivera (NESO):</t>
        </r>
        <r>
          <rPr>
            <sz val="9"/>
            <color indexed="81"/>
            <rFont val="Tahoma"/>
            <family val="2"/>
          </rPr>
          <t xml:space="preserve">
Se usa en el cálculo de sobrentensión DC (Voc\_string &lt; Vdc\_max del inversor).</t>
        </r>
      </text>
    </comment>
    <comment ref="C9" authorId="1" shapeId="0" xr:uid="{25AA8FE4-3B2A-4A10-9129-94C7F25AC181}">
      <text>
        <r>
          <rPr>
            <b/>
            <sz val="9"/>
            <color rgb="FF000000"/>
            <rFont val="Tahoma"/>
            <family val="2"/>
          </rPr>
          <t>Nicolas Rivera (NESO):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Dato de ficha técnica.</t>
        </r>
      </text>
    </comment>
    <comment ref="C10" authorId="1" shapeId="0" xr:uid="{2E3D2B34-0F16-4BD4-9EEB-C103376D6DBD}">
      <text>
        <r>
          <rPr>
            <b/>
            <sz val="9"/>
            <color rgb="FF000000"/>
            <rFont val="Tahoma"/>
            <family val="2"/>
          </rPr>
          <t>Nicolas Rivera (NESO):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Dato de ficha técnica; define Ns para caer dentro del rango MPPT.</t>
        </r>
      </text>
    </comment>
    <comment ref="C11" authorId="1" shapeId="0" xr:uid="{93AA7EC8-7080-4018-AED1-64803208E2BF}">
      <text>
        <r>
          <rPr>
            <b/>
            <sz val="9"/>
            <color indexed="81"/>
            <rFont val="Tahoma"/>
            <family val="2"/>
          </rPr>
          <t>Nicolas Rivera (NESO):</t>
        </r>
        <r>
          <rPr>
            <sz val="9"/>
            <color indexed="81"/>
            <rFont val="Tahoma"/>
            <family val="2"/>
          </rPr>
          <t xml:space="preserve">
Para verificar que la corriente por MPPT no supere el límite del inversor.</t>
        </r>
      </text>
    </comment>
    <comment ref="C12" authorId="1" shapeId="0" xr:uid="{F5CE3239-35F3-43BC-8A0F-8633CD8AECC9}">
      <text>
        <r>
          <rPr>
            <b/>
            <sz val="9"/>
            <color rgb="FF000000"/>
            <rFont val="Tahoma"/>
            <family val="2"/>
          </rPr>
          <t>Nicolas Rivera (NESO):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Normalmente negativo (ej.: −0.29). Se usa para Voc a baja temperatura.</t>
        </r>
      </text>
    </comment>
    <comment ref="C13" authorId="0" shapeId="0" xr:uid="{DDB3574D-ACE1-5A42-8907-3D430C55175D}">
      <text>
        <r>
          <rPr>
            <b/>
            <sz val="10"/>
            <color rgb="FF000000"/>
            <rFont val="Tahoma"/>
            <family val="2"/>
          </rPr>
          <t>Nicolas Rivera Bueno:</t>
        </r>
        <r>
          <rPr>
            <sz val="10"/>
            <color rgb="FF000000"/>
            <rFont val="Tahoma"/>
            <family val="2"/>
          </rPr>
          <t xml:space="preserve">
Típico 1.1–1.2. Evita sobredimensionar a la baja.</t>
        </r>
      </text>
    </comment>
    <comment ref="C14" authorId="1" shapeId="0" xr:uid="{B02425AA-EE6A-45F5-9995-9FD15D326DF1}">
      <text>
        <r>
          <rPr>
            <b/>
            <sz val="9"/>
            <color indexed="81"/>
            <rFont val="Tahoma"/>
            <family val="2"/>
          </rPr>
          <t>Nicolas Rivera (NESO):</t>
        </r>
        <r>
          <rPr>
            <sz val="9"/>
            <color indexed="81"/>
            <rFont val="Tahoma"/>
            <family val="2"/>
          </rPr>
          <t xml:space="preserve">
Típico 1.3–1.4. Evita clipping excesivo y picos FV demasiado altos.</t>
        </r>
      </text>
    </comment>
    <comment ref="C15" authorId="1" shapeId="0" xr:uid="{88BD6FB0-02C8-45D3-8B13-EC406A4C4591}">
      <text>
        <r>
          <rPr>
            <b/>
            <sz val="9"/>
            <color rgb="FF000000"/>
            <rFont val="Tahoma"/>
            <family val="2"/>
          </rPr>
          <t>Nicolas Rivera (NESO):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Valor base del Año 1; el modelo puede hacer crecer esta tarifa.</t>
        </r>
      </text>
    </comment>
    <comment ref="C16" authorId="1" shapeId="0" xr:uid="{F0557727-ADB4-424B-AEFA-AFF0460E096F}">
      <text>
        <r>
          <rPr>
            <b/>
            <sz val="9"/>
            <color rgb="FF000000"/>
            <rFont val="Tahoma"/>
            <family val="2"/>
          </rPr>
          <t>Nicolas Rivera (NESO):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Si no hay venta o es nula, pon 0.</t>
        </r>
      </text>
    </comment>
    <comment ref="C17" authorId="1" shapeId="0" xr:uid="{18AAD615-1292-4316-BF78-128E0EA3B8B8}">
      <text>
        <r>
          <rPr>
            <b/>
            <sz val="9"/>
            <color rgb="FF000000"/>
            <rFont val="Tahoma"/>
            <family val="2"/>
          </rPr>
          <t>Nicolas Rivera (NESO):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0.06 = 6%/año. Se convierte a tasa mensual internamente.</t>
        </r>
      </text>
    </comment>
    <comment ref="C18" authorId="1" shapeId="0" xr:uid="{39395829-435E-41E6-9A16-3890F31A58CB}">
      <text>
        <r>
          <rPr>
            <b/>
            <sz val="9"/>
            <color rgb="FF000000"/>
            <rFont val="Tahoma"/>
            <family val="2"/>
          </rPr>
          <t>Nicolas Rivera (NESO):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0.03 = 3%/año. Se convierte a tasa mensual internamente.</t>
        </r>
      </text>
    </comment>
    <comment ref="C20" authorId="1" shapeId="0" xr:uid="{526C77A2-042E-4833-9386-3544706DEA6F}">
      <text>
        <r>
          <rPr>
            <b/>
            <sz val="9"/>
            <color rgb="FF000000"/>
            <rFont val="Tahoma"/>
            <family val="2"/>
          </rPr>
          <t>Nicolas Rivera (NESO):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Refleja costo de oportunidad. Se pasa a mensual para descontar los flujos.</t>
        </r>
      </text>
    </comment>
    <comment ref="C21" authorId="1" shapeId="0" xr:uid="{787EC7E5-C8E8-4CED-BB16-752DD32D30D9}">
      <text>
        <r>
          <rPr>
            <b/>
            <sz val="9"/>
            <color rgb="FF000000"/>
            <rFont val="Tahoma"/>
            <family val="2"/>
          </rPr>
          <t>Nicolas Rivera (NESO):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Afecta el NPV y el payback observado.</t>
        </r>
      </text>
    </comment>
    <comment ref="C22" authorId="1" shapeId="0" xr:uid="{04DB2F83-A47B-4674-9EE5-D7C6887327E0}">
      <text>
        <r>
          <rPr>
            <b/>
            <sz val="9"/>
            <color rgb="FF000000"/>
            <rFont val="Tahoma"/>
            <family val="2"/>
          </rPr>
          <t>Nicolas Rivera (NESO):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En *variable*, el CapEx = `price_per_kWp_COP </t>
        </r>
        <r>
          <rPr>
            <sz val="9"/>
            <color rgb="FF000000"/>
            <rFont val="Tahoma"/>
            <family val="2"/>
          </rPr>
          <t>×</t>
        </r>
        <r>
          <rPr>
            <sz val="9"/>
            <color rgb="FF000000"/>
            <rFont val="Tahoma"/>
            <family val="2"/>
          </rPr>
          <t xml:space="preserve"> kWp`. En *total*, usa `price_total_COP`.</t>
        </r>
      </text>
    </comment>
    <comment ref="C23" authorId="1" shapeId="0" xr:uid="{73CB6BCD-1C8D-48E1-A1E1-3A23327BE11F}">
      <text>
        <r>
          <rPr>
            <b/>
            <sz val="9"/>
            <color rgb="FF000000"/>
            <rFont val="Tahoma"/>
            <family val="2"/>
          </rPr>
          <t>Nicolas Rivera (NESO):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Sólo aplica si `pricing_mode="total"`.</t>
        </r>
      </text>
    </comment>
    <comment ref="C27" authorId="1" shapeId="0" xr:uid="{C96B32B7-7EEB-4829-B324-85EF027E4BFD}">
      <text>
        <r>
          <rPr>
            <b/>
            <sz val="9"/>
            <color rgb="FF000000"/>
            <rFont val="Tahoma"/>
            <family val="2"/>
          </rPr>
          <t>Nicolas Rivera (NESO):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Sólo aplica si `pricing_mode="variable"`.</t>
        </r>
      </text>
    </comment>
    <comment ref="C28" authorId="1" shapeId="0" xr:uid="{45CC03DE-284A-46B4-A555-6CA5AF49889F}">
      <text>
        <r>
          <rPr>
            <b/>
            <sz val="9"/>
            <color rgb="FF000000"/>
            <rFont val="Tahoma"/>
            <family val="2"/>
          </rPr>
          <t>Nicolas Rivera (NESO):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0.07 ≈ </t>
        </r>
        <r>
          <rPr>
            <sz val="9"/>
            <color rgb="FF000000"/>
            <rFont val="Tahoma"/>
            <family val="2"/>
          </rPr>
          <t>±</t>
        </r>
        <r>
          <rPr>
            <sz val="9"/>
            <color rgb="FF000000"/>
            <rFont val="Tahoma"/>
            <family val="2"/>
          </rPr>
          <t>7% típico; simula meses mejores/peores.</t>
        </r>
      </text>
    </comment>
    <comment ref="C29" authorId="1" shapeId="0" xr:uid="{8663A14A-E79D-4599-86D5-BFF58D5A1522}">
      <text>
        <r>
          <rPr>
            <b/>
            <sz val="9"/>
            <color rgb="FF000000"/>
            <rFont val="Tahoma"/>
            <family val="2"/>
          </rPr>
          <t>Nicolas Rivera (NESO):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Variación corto plazo alrededor del crecimiento anual.</t>
        </r>
      </text>
    </comment>
    <comment ref="C30" authorId="1" shapeId="0" xr:uid="{3C81C8A3-4059-4503-9E61-329EFAD8179E}">
      <text>
        <r>
          <rPr>
            <b/>
            <sz val="9"/>
            <color rgb="FF000000"/>
            <rFont val="Tahoma"/>
            <family val="2"/>
          </rPr>
          <t>Nicolas Rivera (NESO):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Usada solo si `export_allowed=Sí`</t>
        </r>
      </text>
    </comment>
    <comment ref="C34" authorId="1" shapeId="0" xr:uid="{E4E90408-FEEB-4C96-9441-C7CE6CE600DD}">
      <text>
        <r>
          <rPr>
            <b/>
            <sz val="9"/>
            <color indexed="81"/>
            <rFont val="Tahoma"/>
            <family val="2"/>
          </rPr>
          <t>Nicolas Rivera (NESO):</t>
        </r>
        <r>
          <rPr>
            <sz val="9"/>
            <color indexed="81"/>
            <rFont val="Tahoma"/>
            <family val="2"/>
          </rPr>
          <t xml:space="preserve">
Valores típicos: 200–1000. Más alto = resultados más estables (tarda más).</t>
        </r>
      </text>
    </comment>
    <comment ref="C36" authorId="1" shapeId="0" xr:uid="{5DB5E1D4-CF14-4F37-83A8-156060E6EAE6}">
      <text>
        <r>
          <rPr>
            <b/>
            <sz val="9"/>
            <color indexed="81"/>
            <rFont val="Tahoma"/>
            <family val="2"/>
          </rPr>
          <t>Nicolas Rivera (NESO):</t>
        </r>
        <r>
          <rPr>
            <sz val="9"/>
            <color indexed="81"/>
            <rFont val="Tahoma"/>
            <family val="2"/>
          </rPr>
          <t xml:space="preserve">
Si es **Sí**, se descartan diseños que exceden el límite.</t>
        </r>
      </text>
    </comment>
    <comment ref="C37" authorId="1" shapeId="0" xr:uid="{40C281C8-18FE-4B2B-8F39-DBD976C9F369}">
      <text>
        <r>
          <rPr>
            <b/>
            <sz val="9"/>
            <color rgb="FF000000"/>
            <rFont val="Tahoma"/>
            <family val="2"/>
          </rPr>
          <t>Nicolas Rivera (NESO):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1.8 significa que el pico FV no debe superar 1.8</t>
        </r>
        <r>
          <rPr>
            <sz val="9"/>
            <color rgb="FF000000"/>
            <rFont val="Tahoma"/>
            <family val="2"/>
          </rPr>
          <t>×</t>
        </r>
        <r>
          <rPr>
            <sz val="9"/>
            <color rgb="FF000000"/>
            <rFont val="Tahoma"/>
            <family val="2"/>
          </rPr>
          <t xml:space="preserve"> el pico de carga (agregado 7</t>
        </r>
        <r>
          <rPr>
            <sz val="9"/>
            <color rgb="FF000000"/>
            <rFont val="Tahoma"/>
            <family val="2"/>
          </rPr>
          <t>×</t>
        </r>
        <r>
          <rPr>
            <sz val="9"/>
            <color rgb="FF000000"/>
            <rFont val="Tahoma"/>
            <family val="2"/>
          </rPr>
          <t>24).</t>
        </r>
      </text>
    </comment>
    <comment ref="C38" authorId="1" shapeId="0" xr:uid="{16142CA3-9D8F-4E48-A4FB-6FB5DCB8E108}">
      <text>
        <r>
          <rPr>
            <b/>
            <sz val="9"/>
            <color rgb="FF000000"/>
            <rFont val="Tahoma"/>
            <family val="2"/>
          </rPr>
          <t>Nicolas Rivera (NESO):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Útil si quieres verificar picos en años futuros.</t>
        </r>
      </text>
    </comment>
    <comment ref="C39" authorId="1" shapeId="0" xr:uid="{F2D652BE-071C-4352-92D7-4357B5A15CDE}">
      <text>
        <r>
          <rPr>
            <b/>
            <sz val="9"/>
            <color rgb="FF000000"/>
            <rFont val="Tahoma"/>
            <family val="2"/>
          </rPr>
          <t>Nicolas Rivera (NESO):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En *fixed* se usa `limit_peak_month_fixed`.</t>
        </r>
      </text>
    </comment>
    <comment ref="E40" authorId="1" shapeId="0" xr:uid="{33A75F50-07B6-43D7-8520-ED63989FB205}">
      <text>
        <r>
          <rPr>
            <b/>
            <sz val="9"/>
            <color indexed="81"/>
            <rFont val="Tahoma"/>
            <family val="2"/>
          </rPr>
          <t>Nicolas Rivera (NESO):</t>
        </r>
        <r>
          <rPr>
            <sz val="9"/>
            <color indexed="81"/>
            <rFont val="Tahoma"/>
            <family val="2"/>
          </rPr>
          <t xml:space="preserve">
- weighted_mean es promedio ponderado (recomendado) y pondera por la energía semanal de cada día.
- weekday es día entre semana (no sábado/domingo)</t>
        </r>
      </text>
    </comment>
    <comment ref="C41" authorId="1" shapeId="0" xr:uid="{86C24BE4-93BB-4FDB-A1F3-9F719E287ED4}">
      <text>
        <r>
          <rPr>
            <b/>
            <sz val="9"/>
            <color indexed="81"/>
            <rFont val="Tahoma"/>
            <family val="2"/>
          </rPr>
          <t>Nicolas Rivera (NESO):</t>
        </r>
        <r>
          <rPr>
            <sz val="9"/>
            <color indexed="81"/>
            <rFont val="Tahoma"/>
            <family val="2"/>
          </rPr>
          <t xml:space="preserve">
Solo si `limit_peak_month_mode="fijo"`.</t>
        </r>
      </text>
    </comment>
    <comment ref="C43" authorId="1" shapeId="0" xr:uid="{3C4BCE26-44D2-4FFA-A266-58A9C4809B98}">
      <text>
        <r>
          <rPr>
            <b/>
            <sz val="9"/>
            <color indexed="81"/>
            <rFont val="Tahoma"/>
            <family val="2"/>
          </rPr>
          <t>Nicolas Rivera (NESO):</t>
        </r>
        <r>
          <rPr>
            <sz val="9"/>
            <color indexed="81"/>
            <rFont val="Tahoma"/>
            <family val="2"/>
          </rPr>
          <t xml:space="preserve">
Número en kWp, p. ej. *15*.</t>
        </r>
      </text>
    </comment>
    <comment ref="C44" authorId="1" shapeId="0" xr:uid="{2AA5988E-A97F-494A-80B1-559855EFB2B7}">
      <text>
        <r>
          <rPr>
            <b/>
            <sz val="9"/>
            <color indexed="81"/>
            <rFont val="Tahoma"/>
            <family val="2"/>
          </rPr>
          <t>Nicolas Rivera (NESO):</t>
        </r>
        <r>
          <rPr>
            <sz val="9"/>
            <color indexed="81"/>
            <rFont val="Tahoma"/>
            <family val="2"/>
          </rPr>
          <t xml:space="preserve">
El barrido se hace en pasos del tamaño de **un módulo**.</t>
        </r>
      </text>
    </comment>
    <comment ref="C45" authorId="1" shapeId="0" xr:uid="{149BE15D-E9ED-4435-9832-62AE847C0E9D}">
      <text>
        <r>
          <rPr>
            <b/>
            <sz val="9"/>
            <color indexed="81"/>
            <rFont val="Tahoma"/>
            <family val="2"/>
          </rPr>
          <t>Nicolas Rivera (NESO):</t>
        </r>
        <r>
          <rPr>
            <sz val="9"/>
            <color indexed="81"/>
            <rFont val="Tahoma"/>
            <family val="2"/>
          </rPr>
          <t xml:space="preserve">
Límite inferior: kWp mínimos para la optimisación de los kWp a instalar
</t>
        </r>
      </text>
    </comment>
    <comment ref="C46" authorId="1" shapeId="0" xr:uid="{4B0132F5-4778-4DC7-BB09-3A0FB4B127F2}">
      <text>
        <r>
          <rPr>
            <b/>
            <sz val="9"/>
            <color rgb="FF000000"/>
            <rFont val="Tahoma"/>
            <family val="2"/>
          </rPr>
          <t>Nicolas Rivera (NESO):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Límite superior: kWp máximos para la optimisación de los kWp a instalar
</t>
        </r>
      </text>
    </comment>
    <comment ref="C49" authorId="1" shapeId="0" xr:uid="{C6381710-2612-4D7C-8A00-31815B49D6E8}">
      <text>
        <r>
          <rPr>
            <b/>
            <sz val="9"/>
            <color rgb="FF000000"/>
            <rFont val="Tahoma"/>
            <family val="2"/>
          </rPr>
          <t>Nicolas Rivera (NESO):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Sensible a mayúsculas/espacios; p. ej. *BAT-10*.</t>
        </r>
      </text>
    </comment>
    <comment ref="C50" authorId="1" shapeId="0" xr:uid="{84A6EF17-51A3-43E5-83CF-F8FE2D75875B}">
      <text>
        <r>
          <rPr>
            <b/>
            <sz val="9"/>
            <color indexed="81"/>
            <rFont val="Tahoma"/>
            <family val="2"/>
          </rPr>
          <t>Nicolas Rivera (NESO):</t>
        </r>
        <r>
          <rPr>
            <sz val="9"/>
            <color indexed="81"/>
            <rFont val="Tahoma"/>
            <family val="2"/>
          </rPr>
          <t xml:space="preserve">
Probar varias baterías del catálogo (incluido “sin batería”) y escoger la mejor por NPV.</t>
        </r>
      </text>
    </comment>
    <comment ref="C51" authorId="1" shapeId="0" xr:uid="{7C41AECB-EF34-4C51-B9D9-3CAADDD63ACA}">
      <text>
        <r>
          <rPr>
            <b/>
            <sz val="9"/>
            <color indexed="81"/>
            <rFont val="Tahoma"/>
            <family val="2"/>
          </rPr>
          <t>Nicolas Rivera (NESO):</t>
        </r>
        <r>
          <rPr>
            <sz val="9"/>
            <color indexed="81"/>
            <rFont val="Tahoma"/>
            <family val="2"/>
          </rPr>
          <t xml:space="preserve">
usar 90% de la energía nominal.</t>
        </r>
      </text>
    </comment>
    <comment ref="C53" authorId="1" shapeId="0" xr:uid="{DF4AB265-351B-435C-90C0-73F97C1ABF45}">
      <text>
        <r>
          <rPr>
            <b/>
            <sz val="9"/>
            <color rgb="FF000000"/>
            <rFont val="Tahoma"/>
            <family val="2"/>
          </rPr>
          <t>Nicolas Rivera (NESO):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Incluye pérdidas de carga y descarga. 0.9 = 90%.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Nicolas Rivera (NESO)</author>
    <author>Nicolas Rivera Bueno</author>
  </authors>
  <commentList>
    <comment ref="O1" authorId="0" shapeId="0" xr:uid="{DC81F087-07C6-4CCE-9A8A-A2B62D6111A9}">
      <text>
        <r>
          <rPr>
            <b/>
            <sz val="9"/>
            <color indexed="81"/>
            <rFont val="Tahoma"/>
            <family val="2"/>
          </rPr>
          <t>Nicolas Rivera (NESO):</t>
        </r>
        <r>
          <rPr>
            <sz val="9"/>
            <color indexed="81"/>
            <rFont val="Tahoma"/>
            <family val="2"/>
          </rPr>
          <t xml:space="preserve">
Porcentaje de participación del taller en el horario diurno</t>
        </r>
      </text>
    </comment>
    <comment ref="B3" authorId="1" shapeId="0" xr:uid="{C70D9EA0-991A-724F-AC0F-8F260C9053CD}">
      <text>
        <r>
          <rPr>
            <b/>
            <sz val="10"/>
            <color rgb="FF000000"/>
            <rFont val="Tahoma"/>
            <family val="2"/>
          </rPr>
          <t>Nicolas Rivera Bueno: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Día de la semana (1 es Lunes)</t>
        </r>
      </text>
    </comment>
    <comment ref="C3" authorId="1" shapeId="0" xr:uid="{E99A9C8F-2C49-6543-8CB8-DCA4F63BD531}">
      <text>
        <r>
          <rPr>
            <b/>
            <sz val="10"/>
            <color rgb="FF000000"/>
            <rFont val="Tahoma"/>
            <family val="2"/>
          </rPr>
          <t>Nicolas Rivera Bueno: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Hora</t>
        </r>
      </text>
    </comment>
    <comment ref="D3" authorId="1" shapeId="0" xr:uid="{269CC8E1-6D6F-E044-A457-D0BA8897CD58}">
      <text>
        <r>
          <rPr>
            <b/>
            <sz val="10"/>
            <color rgb="FF000000"/>
            <rFont val="Tahoma"/>
            <family val="2"/>
          </rPr>
          <t>Nicolas Rivera Bueno: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Perfil Residencial</t>
        </r>
      </text>
    </comment>
    <comment ref="E3" authorId="1" shapeId="0" xr:uid="{58D00C02-1D70-E84B-BE86-2A16E2D020FB}">
      <text>
        <r>
          <rPr>
            <b/>
            <sz val="10"/>
            <color rgb="FF000000"/>
            <rFont val="Tahoma"/>
            <family val="2"/>
          </rPr>
          <t>Nicolas Rivera Bueno: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Perfil industrial</t>
        </r>
      </text>
    </comment>
    <comment ref="N3" authorId="1" shapeId="0" xr:uid="{2E89D574-232A-7340-97B3-08AE80C5A481}">
      <text>
        <r>
          <rPr>
            <b/>
            <sz val="10"/>
            <color rgb="FF000000"/>
            <rFont val="Tahoma"/>
            <family val="2"/>
          </rPr>
          <t>Nicolas Rivera Bueno: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Colocar los porcentajes con respecto al promedio horario (demanda mensual dividido 30 dias dividido 24 horas)</t>
        </r>
      </text>
    </comment>
    <comment ref="P3" authorId="1" shapeId="0" xr:uid="{2AE639B8-FF48-7944-94FD-5E8B7B8AA9B8}">
      <text>
        <r>
          <rPr>
            <b/>
            <sz val="10"/>
            <color rgb="FF000000"/>
            <rFont val="Tahoma"/>
            <family val="2"/>
          </rPr>
          <t>Nicolas Rivera Bueno: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Estos serian los valores de la demanda si el 100% fuera residencial</t>
        </r>
      </text>
    </comment>
    <comment ref="U3" authorId="1" shapeId="0" xr:uid="{698D8051-0929-9A4F-AEDD-059670C72725}">
      <text>
        <r>
          <rPr>
            <b/>
            <sz val="10"/>
            <color rgb="FF000000"/>
            <rFont val="Tahoma"/>
            <family val="2"/>
          </rPr>
          <t>Nicolas Rivera Bueno: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Mes</t>
        </r>
      </text>
    </comment>
    <comment ref="V3" authorId="1" shapeId="0" xr:uid="{50B9D843-0B94-874B-9BD1-C12E738AE42F}">
      <text>
        <r>
          <rPr>
            <b/>
            <sz val="10"/>
            <color rgb="FF000000"/>
            <rFont val="Tahoma"/>
            <family val="2"/>
          </rPr>
          <t>Nicolas Rivera Bueno: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Qué tan típico es este mes en consumo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Nicolas Rivera Bueno</author>
  </authors>
  <commentList>
    <comment ref="B1" authorId="0" shapeId="0" xr:uid="{74128756-AACE-4948-B0AD-98097A255595}">
      <text>
        <r>
          <rPr>
            <b/>
            <sz val="10"/>
            <color rgb="FF000000"/>
            <rFont val="Tahoma"/>
            <family val="2"/>
          </rPr>
          <t>Nicolas Rivera Bueno: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Potencia nominal</t>
        </r>
      </text>
    </comment>
    <comment ref="F1" authorId="0" shapeId="0" xr:uid="{79DF83F2-1A90-A34E-97DC-81223CBFE882}">
      <text>
        <r>
          <rPr>
            <b/>
            <sz val="10"/>
            <color rgb="FF000000"/>
            <rFont val="Tahoma"/>
            <family val="2"/>
          </rPr>
          <t>Nicolas Rivera Bueno: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Corriente máxima por seguidor</t>
        </r>
      </text>
    </comment>
    <comment ref="G1" authorId="0" shapeId="0" xr:uid="{A3021B1E-0EDD-1F4A-A8D4-660037F978FA}">
      <text>
        <r>
          <rPr>
            <b/>
            <sz val="10"/>
            <color rgb="FF000000"/>
            <rFont val="Tahoma"/>
            <family val="2"/>
          </rPr>
          <t>Nicolas Rivera Bueno: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Número de seguidores</t>
        </r>
      </text>
    </comment>
    <comment ref="H1" authorId="0" shapeId="0" xr:uid="{A960B359-3A28-7C43-9494-72E355E8A356}">
      <text>
        <r>
          <rPr>
            <b/>
            <sz val="10"/>
            <color rgb="FF000000"/>
            <rFont val="Tahoma"/>
            <family val="2"/>
          </rPr>
          <t>Nicolas Rivera Bueno: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Precio del inversor</t>
        </r>
      </text>
    </comment>
    <comment ref="K1" authorId="0" shapeId="0" xr:uid="{3416A8B6-64ED-9D48-B5A2-F72129181B80}">
      <text>
        <r>
          <rPr>
            <b/>
            <sz val="10"/>
            <color rgb="FF000000"/>
            <rFont val="Tahoma"/>
            <family val="2"/>
          </rPr>
          <t>Nicolas Rivera Bueno: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Energía de almacenamiento</t>
        </r>
      </text>
    </comment>
    <comment ref="L1" authorId="0" shapeId="0" xr:uid="{54257333-3DA6-474E-84A1-5B73DDAED671}">
      <text>
        <r>
          <rPr>
            <b/>
            <sz val="10"/>
            <color rgb="FF000000"/>
            <rFont val="Tahoma"/>
            <family val="2"/>
          </rPr>
          <t>Nicolas Rivera Bueno: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Máxima potencia</t>
        </r>
      </text>
    </comment>
    <comment ref="M1" authorId="0" shapeId="0" xr:uid="{CE9122C1-B0A7-0D4E-A2C4-1C1EF933E896}">
      <text>
        <r>
          <rPr>
            <b/>
            <sz val="10"/>
            <color rgb="FF000000"/>
            <rFont val="Tahoma"/>
            <family val="2"/>
          </rPr>
          <t>Nicolas Rivera Bueno: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Maxima potencia de carga</t>
        </r>
      </text>
    </comment>
    <comment ref="N1" authorId="0" shapeId="0" xr:uid="{54D02C11-4213-E748-B8B6-1015AA602DA9}">
      <text>
        <r>
          <rPr>
            <b/>
            <sz val="10"/>
            <color rgb="FF000000"/>
            <rFont val="Tahoma"/>
            <family val="2"/>
          </rPr>
          <t>Nicolas Rivera Bueno: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Maxima potencia de descarga</t>
        </r>
      </text>
    </comment>
    <comment ref="O1" authorId="0" shapeId="0" xr:uid="{72A90CF8-495A-6F46-9FF6-341F45BF45C2}">
      <text>
        <r>
          <rPr>
            <b/>
            <sz val="10"/>
            <color rgb="FF000000"/>
            <rFont val="Tahoma"/>
            <family val="2"/>
          </rPr>
          <t>Nicolas Rivera Bueno: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Precio de la Batería</t>
        </r>
      </text>
    </comment>
  </commentList>
</comments>
</file>

<file path=xl/sharedStrings.xml><?xml version="1.0" encoding="utf-8"?>
<sst xmlns="http://schemas.openxmlformats.org/spreadsheetml/2006/main" count="393" uniqueCount="204">
  <si>
    <t>E_month_kWh</t>
  </si>
  <si>
    <t>profile_type</t>
  </si>
  <si>
    <t>alpha_mix</t>
  </si>
  <si>
    <t>use_excel_profile</t>
  </si>
  <si>
    <t>PR</t>
  </si>
  <si>
    <t>Tmin_C</t>
  </si>
  <si>
    <t>P_mod_W</t>
  </si>
  <si>
    <t>Voc25</t>
  </si>
  <si>
    <t>Vmp25</t>
  </si>
  <si>
    <t>Isc</t>
  </si>
  <si>
    <t>a_Voc_pct</t>
  </si>
  <si>
    <t>ILR_min</t>
  </si>
  <si>
    <t>ILR_max</t>
  </si>
  <si>
    <t>buy_tariff_COP_kWh</t>
  </si>
  <si>
    <t>sell_tariff_COP_kWh</t>
  </si>
  <si>
    <t>g_tar_buy</t>
  </si>
  <si>
    <t>g_tar_sell</t>
  </si>
  <si>
    <t>discount_rate</t>
  </si>
  <si>
    <t>years</t>
  </si>
  <si>
    <t>pricing_mode</t>
  </si>
  <si>
    <t>price_per_kWp_COP</t>
  </si>
  <si>
    <t>price_total_COP</t>
  </si>
  <si>
    <t>include_hw_in_price</t>
  </si>
  <si>
    <t>include_battery</t>
  </si>
  <si>
    <t>battery_name</t>
  </si>
  <si>
    <t>mc_PR_std</t>
  </si>
  <si>
    <t>mc_buy_std</t>
  </si>
  <si>
    <t>mc_sell_std</t>
  </si>
  <si>
    <t>mc_demand_std</t>
  </si>
  <si>
    <t>DOW</t>
  </si>
  <si>
    <t>HOUR</t>
  </si>
  <si>
    <t>RES</t>
  </si>
  <si>
    <t>IND</t>
  </si>
  <si>
    <t>MONTH</t>
  </si>
  <si>
    <t>name</t>
  </si>
  <si>
    <t>AC_kW</t>
  </si>
  <si>
    <t>Vmppt_min</t>
  </si>
  <si>
    <t>Vmppt_max</t>
  </si>
  <si>
    <t>Vdc_max</t>
  </si>
  <si>
    <t>Imax_mppt</t>
  </si>
  <si>
    <t>n_mppt</t>
  </si>
  <si>
    <t>price_COP</t>
  </si>
  <si>
    <t>INV-5k</t>
  </si>
  <si>
    <t>INV-8k</t>
  </si>
  <si>
    <t>INV-10k</t>
  </si>
  <si>
    <t>INV-12k</t>
  </si>
  <si>
    <t>INV-15k</t>
  </si>
  <si>
    <t>nom_kWh</t>
  </si>
  <si>
    <t>max_kW</t>
  </si>
  <si>
    <t>BAT-10</t>
  </si>
  <si>
    <t>BAT-15</t>
  </si>
  <si>
    <t>BAT-20</t>
  </si>
  <si>
    <t>Item</t>
  </si>
  <si>
    <t>Valor</t>
  </si>
  <si>
    <t>Unidad</t>
  </si>
  <si>
    <t>Porcentaje de participación del taller en el horario diurno</t>
  </si>
  <si>
    <t>Tasa de desempeño solar</t>
  </si>
  <si>
    <t>Wp</t>
  </si>
  <si>
    <t>V</t>
  </si>
  <si>
    <t>A</t>
  </si>
  <si>
    <t>/°C</t>
  </si>
  <si>
    <t>°C</t>
  </si>
  <si>
    <t>No</t>
  </si>
  <si>
    <t>Descripción</t>
  </si>
  <si>
    <t>kWh</t>
  </si>
  <si>
    <t>Tipo de perfil de demanda</t>
  </si>
  <si>
    <t>Potencia de cada módulo solar</t>
  </si>
  <si>
    <t>Incluir Batería en cálculo</t>
  </si>
  <si>
    <t>Mixta</t>
  </si>
  <si>
    <t>$/kWh</t>
  </si>
  <si>
    <t>/año</t>
  </si>
  <si>
    <t>años</t>
  </si>
  <si>
    <t>Variable</t>
  </si>
  <si>
    <t>Desviación estándar de demanda en simulación Montecarlo</t>
  </si>
  <si>
    <t>export_allowed</t>
  </si>
  <si>
    <t>Sí</t>
  </si>
  <si>
    <t>¿Permitir Exportación de Energía excedente?</t>
  </si>
  <si>
    <t>W_RES</t>
  </si>
  <si>
    <t>W_IND</t>
  </si>
  <si>
    <t>W_RES_BASE</t>
  </si>
  <si>
    <t>W_IND_BASE</t>
  </si>
  <si>
    <t>W_TOTAL</t>
  </si>
  <si>
    <t>Dia</t>
  </si>
  <si>
    <t>Lunes</t>
  </si>
  <si>
    <t>Martes</t>
  </si>
  <si>
    <t>Miércoles</t>
  </si>
  <si>
    <t>Jueves</t>
  </si>
  <si>
    <t>Viernes</t>
  </si>
  <si>
    <t>Sábado</t>
  </si>
  <si>
    <t>Domingo</t>
  </si>
  <si>
    <t>SOL</t>
  </si>
  <si>
    <t>optimize_battery</t>
  </si>
  <si>
    <t>bat_DoD</t>
  </si>
  <si>
    <t>bat_eta_rt</t>
  </si>
  <si>
    <t>kWp_seed_mode</t>
  </si>
  <si>
    <t>kWp_seed_manual_kWp</t>
  </si>
  <si>
    <t>modules_span_each_side</t>
  </si>
  <si>
    <t>kWp_min</t>
  </si>
  <si>
    <t>kWp_max</t>
  </si>
  <si>
    <t>limit_peak_ratio_enable</t>
  </si>
  <si>
    <t>limit_peak_ratio</t>
  </si>
  <si>
    <t>limit_peak_year</t>
  </si>
  <si>
    <t>limit_peak_month_mode</t>
  </si>
  <si>
    <t>limit_peak_month_fixed</t>
  </si>
  <si>
    <t>mc_use_manual_kWp</t>
  </si>
  <si>
    <t>mc_manual_kWp</t>
  </si>
  <si>
    <t>mc_battery_name</t>
  </si>
  <si>
    <t>Grupo</t>
  </si>
  <si>
    <t>Demanda y Perfil</t>
  </si>
  <si>
    <t>Sol y módulos</t>
  </si>
  <si>
    <t>Inversor</t>
  </si>
  <si>
    <t>Economía</t>
  </si>
  <si>
    <t>Precios</t>
  </si>
  <si>
    <t>Monte Carlo</t>
  </si>
  <si>
    <t>Restricción de Proporción Pico</t>
  </si>
  <si>
    <t>Semilla</t>
  </si>
  <si>
    <t>Controles de Batería y Exporte</t>
  </si>
  <si>
    <t>Desviación estándar de los kWp instalados en simulación Montecarlo</t>
  </si>
  <si>
    <t>maximo</t>
  </si>
  <si>
    <t>kWp</t>
  </si>
  <si>
    <t>Auto</t>
  </si>
  <si>
    <t>Eficiencia de la batería</t>
  </si>
  <si>
    <t>¿Optimizar la batería?</t>
  </si>
  <si>
    <t>deg_rate</t>
  </si>
  <si>
    <t>Perfil Hora Dia de Semana</t>
  </si>
  <si>
    <t>Perfil Hora Total</t>
  </si>
  <si>
    <t>Perfil Hora Relativo</t>
  </si>
  <si>
    <t>Factor demanda del mes y HSP</t>
  </si>
  <si>
    <t>Perfil Sol Hora</t>
  </si>
  <si>
    <t>Perfil Horario Relativo</t>
  </si>
  <si>
    <t>TOTAL_kWh</t>
  </si>
  <si>
    <t>limit_peak_basis</t>
  </si>
  <si>
    <t>weighted_mean</t>
  </si>
  <si>
    <t>Número de Escenarios en la simulación Monte Carlo</t>
  </si>
  <si>
    <t>mc_n_simulations</t>
  </si>
  <si>
    <t>simulaciones</t>
  </si>
  <si>
    <t>Consumo eléctrico mensual objetivo del sitio (kWh/mes).</t>
  </si>
  <si>
    <t>¿Cuál perfil de demanda usar?</t>
  </si>
  <si>
    <t>Tipo de Perfil</t>
  </si>
  <si>
    <t>HSP_month</t>
  </si>
  <si>
    <t>Demand_month</t>
  </si>
  <si>
    <t>Temperatura mínima ambiente de diseño (°C) para chequeo de Voc en frío.</t>
  </si>
  <si>
    <t>Tensión de circuito abierto del módulo a 25 °C (V).</t>
  </si>
  <si>
    <t>Tensión en punto de máxima potencia a 25 °C (V).</t>
  </si>
  <si>
    <t>Corriente de cortocircuito del módulo (A).</t>
  </si>
  <si>
    <t>Coeficiente térmico de Voc (% por °C).</t>
  </si>
  <si>
    <t>Límite inferior de relación DC/AC (kWp/kWac).</t>
  </si>
  <si>
    <t>Límite superior de relación DC/AC (kWp/kWac).</t>
  </si>
  <si>
    <t>Tarifa de compra de energía (COP/kWh).</t>
  </si>
  <si>
    <t>Tarifa de venta / remuneración por exportar (COP/kWh).</t>
  </si>
  <si>
    <r>
      <t xml:space="preserve">Crecimiento </t>
    </r>
    <r>
      <rPr>
        <b/>
        <sz val="11"/>
        <color theme="1"/>
        <rFont val="Calibri"/>
        <family val="2"/>
        <scheme val="minor"/>
      </rPr>
      <t>anual</t>
    </r>
    <r>
      <rPr>
        <sz val="11"/>
        <color theme="1"/>
        <rFont val="Calibri"/>
        <family val="2"/>
        <scheme val="minor"/>
      </rPr>
      <t xml:space="preserve"> de la tarifa de compra (fracción/año).</t>
    </r>
  </si>
  <si>
    <r>
      <t xml:space="preserve">Crecimiento </t>
    </r>
    <r>
      <rPr>
        <b/>
        <sz val="11"/>
        <color theme="1"/>
        <rFont val="Calibri"/>
        <family val="2"/>
        <scheme val="minor"/>
      </rPr>
      <t xml:space="preserve">anual </t>
    </r>
    <r>
      <rPr>
        <sz val="11"/>
        <color theme="1"/>
        <rFont val="Calibri"/>
        <family val="2"/>
        <scheme val="minor"/>
      </rPr>
      <t>de la tarifa de venta (fracción/año).</t>
    </r>
  </si>
  <si>
    <t>Horizonte de análisis (años).</t>
  </si>
  <si>
    <r>
      <t>Modalidad de precio: **</t>
    </r>
    <r>
      <rPr>
        <b/>
        <sz val="11"/>
        <color theme="1"/>
        <rFont val="Calibri"/>
        <family val="2"/>
        <scheme val="minor"/>
      </rPr>
      <t>variable</t>
    </r>
    <r>
      <rPr>
        <sz val="11"/>
        <color theme="1"/>
        <rFont val="Calibri"/>
        <family val="2"/>
        <scheme val="minor"/>
      </rPr>
      <t>** (COP/kWp) o **</t>
    </r>
    <r>
      <rPr>
        <b/>
        <sz val="11"/>
        <color theme="1"/>
        <rFont val="Calibri"/>
        <family val="2"/>
        <scheme val="minor"/>
      </rPr>
      <t>total</t>
    </r>
    <r>
      <rPr>
        <sz val="11"/>
        <color theme="1"/>
        <rFont val="Calibri"/>
        <family val="2"/>
        <scheme val="minor"/>
      </rPr>
      <t>** (COP).</t>
    </r>
  </si>
  <si>
    <t>Precio del proyecto por kWp instalado (COP/kWp).</t>
  </si>
  <si>
    <t>Precio total del proyecto (COP).</t>
  </si>
  <si>
    <t>Nombre de batería tal cual aparece en el catálogo (dejar vacio para optimizar)</t>
  </si>
  <si>
    <t>Profundidad de descarga utilizable - DoD de la batería (0-1)</t>
  </si>
  <si>
    <r>
      <t>Cómo definir la semilla de kWp: **</t>
    </r>
    <r>
      <rPr>
        <b/>
        <sz val="11"/>
        <color theme="1"/>
        <rFont val="Calibri"/>
        <family val="2"/>
        <scheme val="minor"/>
      </rPr>
      <t>auto</t>
    </r>
    <r>
      <rPr>
        <sz val="11"/>
        <color theme="1"/>
        <rFont val="Calibri"/>
        <family val="2"/>
        <scheme val="minor"/>
      </rPr>
      <t>** (por energía) o **</t>
    </r>
    <r>
      <rPr>
        <b/>
        <sz val="11"/>
        <color theme="1"/>
        <rFont val="Calibri"/>
        <family val="2"/>
        <scheme val="minor"/>
      </rPr>
      <t>manual</t>
    </r>
    <r>
      <rPr>
        <sz val="11"/>
        <color theme="1"/>
        <rFont val="Calibri"/>
        <family val="2"/>
        <scheme val="minor"/>
      </rPr>
      <t>**.</t>
    </r>
  </si>
  <si>
    <t>Semilla manual de kWp (si `kWp_seed_mode="manual"`).</t>
  </si>
  <si>
    <r>
      <t>Alcance de búsqueda en **</t>
    </r>
    <r>
      <rPr>
        <b/>
        <sz val="11"/>
        <color theme="1"/>
        <rFont val="Calibri"/>
        <family val="2"/>
        <scheme val="minor"/>
      </rPr>
      <t>número de módulos</t>
    </r>
    <r>
      <rPr>
        <sz val="11"/>
        <color theme="1"/>
        <rFont val="Calibri"/>
        <family val="2"/>
        <scheme val="minor"/>
      </rPr>
      <t>** a cada lado de la semilla.</t>
    </r>
  </si>
  <si>
    <t>Potencia DC mínima del barrido (kWp)</t>
  </si>
  <si>
    <t>Potencia DC máxima del barrido (kWp)</t>
  </si>
  <si>
    <t>Activar el filtro por pico FV vs. pico de carga</t>
  </si>
  <si>
    <t>Límite del **ratio** = (pico FV) / (pico carga).</t>
  </si>
  <si>
    <t>Año para aplicar degradación al calcular el pico (0 = Año 1).</t>
  </si>
  <si>
    <t>Mes para chequear picos: max (mes con mayor HSP estacional) o fijo.</t>
  </si>
  <si>
    <t>Mes fijo (1–12) para el chequeo de picos.</t>
  </si>
  <si>
    <t>Cómo agregar el pico de carga 7×24: weighted\_mean, max, dia_semana, p95</t>
  </si>
  <si>
    <t>Desviación estándar mensual del PR (fracción).</t>
  </si>
  <si>
    <t>Desv. estándar mensual de la tarifa de compra (fracción).</t>
  </si>
  <si>
    <t>Desv. estándar mensual de la tarifa de venta (fracción).</t>
  </si>
  <si>
    <t>Batería a usar en MC (si quieres fijar otra distinta).</t>
  </si>
  <si>
    <t>kWp manual para Monte Carlo (si `mc_use_manual_kWp=Sí)</t>
  </si>
  <si>
    <t>MIN</t>
  </si>
  <si>
    <t>MAX</t>
  </si>
  <si>
    <t>PRECIO_POR_KWP</t>
  </si>
  <si>
    <t>Precio Variable Sistema Solar</t>
  </si>
  <si>
    <t>Precio Variables Otros</t>
  </si>
  <si>
    <t>Incluir Costo Bateria e Inversor en el precio</t>
  </si>
  <si>
    <t>Incluir Otros Variables en el Precio</t>
  </si>
  <si>
    <t>include_var_others</t>
  </si>
  <si>
    <t>Precio Otros Fijos (Totales)</t>
  </si>
  <si>
    <t>price_others_total</t>
  </si>
  <si>
    <t>COP</t>
  </si>
  <si>
    <t>Tasa de descuento anual para el Valor Presente Neto (fracción/año). (Depreciación)</t>
  </si>
  <si>
    <t>Degradación anual de los paneles (fracción/año).</t>
  </si>
  <si>
    <t>BAT-21</t>
  </si>
  <si>
    <t>BAT-22</t>
  </si>
  <si>
    <t>BAT-23</t>
  </si>
  <si>
    <t>BAT-24</t>
  </si>
  <si>
    <t>BAT-25</t>
  </si>
  <si>
    <t>BAT-26</t>
  </si>
  <si>
    <t>BAT-27</t>
  </si>
  <si>
    <t>BAT-28</t>
  </si>
  <si>
    <t>BAT-29</t>
  </si>
  <si>
    <t>BAT-30</t>
  </si>
  <si>
    <t>BAT-31</t>
  </si>
  <si>
    <t>BAT-32</t>
  </si>
  <si>
    <t>Acoplamiento de la batería</t>
  </si>
  <si>
    <t>coupling</t>
  </si>
  <si>
    <t>DC</t>
  </si>
  <si>
    <t>max_ch_kW</t>
  </si>
  <si>
    <t>max_dis_kW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</si>
</sst>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_-[$$-240A]\ * #,##0_-;\-[$$-240A]\ * #,##0_-;_-[$$-240A]\ * &quot;-&quot;_-;_-@_-"/>
    <numFmt numFmtId="166" formatCode="_-[$$-240A]\ * #,##0_-;\-[$$-240A]\ * #,##0_-;_-[$$-240A]\ * &quot;-&quot;??_-;_-@_-"/>
    <numFmt numFmtId="167" formatCode="0.0%"/>
    <numFmt numFmtId="168" formatCode="_(* #,##0.0_);_(* \(#,##0.0\);_(* &quot;-&quot;??_);_(@_)"/>
    <numFmt numFmtId="169" formatCode="_-[$$-409]* #,##0_ ;_-[$$-409]* \-#,##0\ ;_-[$$-409]* &quot;-&quot;??_ ;_-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164" fontId="0" fillId="0" borderId="0" xfId="1" applyNumberFormat="1" applyFont="1"/>
    <xf numFmtId="165" fontId="0" fillId="0" borderId="0" xfId="1" applyNumberFormat="1" applyFont="1"/>
    <xf numFmtId="0" fontId="0" fillId="0" borderId="1" xfId="0" applyBorder="1"/>
    <xf numFmtId="0" fontId="0" fillId="0" borderId="2" xfId="0" applyBorder="1"/>
    <xf numFmtId="9" fontId="0" fillId="0" borderId="2" xfId="2" applyFont="1" applyBorder="1"/>
    <xf numFmtId="0" fontId="0" fillId="0" borderId="3" xfId="0" applyBorder="1"/>
    <xf numFmtId="0" fontId="0" fillId="0" borderId="4" xfId="0" applyBorder="1"/>
    <xf numFmtId="9" fontId="0" fillId="0" borderId="0" xfId="2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9" fontId="0" fillId="0" borderId="7" xfId="2" applyFont="1" applyBorder="1"/>
    <xf numFmtId="0" fontId="0" fillId="0" borderId="8" xfId="0" applyBorder="1"/>
    <xf numFmtId="168" fontId="0" fillId="0" borderId="0" xfId="0" applyNumberFormat="1"/>
    <xf numFmtId="167" fontId="0" fillId="0" borderId="0" xfId="2" applyNumberFormat="1" applyFont="1"/>
    <xf numFmtId="167" fontId="0" fillId="0" borderId="0" xfId="1" applyNumberFormat="1" applyFont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7" fontId="0" fillId="0" borderId="0" xfId="0" applyNumberFormat="1"/>
    <xf numFmtId="164" fontId="0" fillId="0" borderId="2" xfId="1" applyNumberFormat="1" applyFont="1" applyBorder="1"/>
    <xf numFmtId="9" fontId="0" fillId="0" borderId="0" xfId="0" applyNumberFormat="1"/>
    <xf numFmtId="9" fontId="0" fillId="0" borderId="7" xfId="0" applyNumberFormat="1" applyBorder="1"/>
    <xf numFmtId="2" fontId="0" fillId="0" borderId="0" xfId="0" applyNumberFormat="1"/>
    <xf numFmtId="0" fontId="0" fillId="0" borderId="9" xfId="0" applyBorder="1"/>
    <xf numFmtId="0" fontId="0" fillId="0" borderId="9" xfId="0" applyBorder="1" applyAlignment="1">
      <alignment horizontal="center" vertical="center"/>
    </xf>
    <xf numFmtId="2" fontId="0" fillId="2" borderId="0" xfId="0" applyNumberFormat="1" applyFill="1"/>
    <xf numFmtId="9" fontId="0" fillId="2" borderId="0" xfId="2" applyFont="1" applyFill="1"/>
    <xf numFmtId="0" fontId="0" fillId="2" borderId="0" xfId="0" applyFill="1"/>
    <xf numFmtId="167" fontId="0" fillId="2" borderId="0" xfId="2" applyNumberFormat="1" applyFont="1" applyFill="1"/>
    <xf numFmtId="169" fontId="0" fillId="2" borderId="0" xfId="1" applyNumberFormat="1" applyFont="1" applyFill="1"/>
    <xf numFmtId="166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166" fontId="0" fillId="0" borderId="7" xfId="0" applyNumberFormat="1" applyBorder="1"/>
    <xf numFmtId="43" fontId="0" fillId="0" borderId="0" xfId="0" applyNumberFormat="1"/>
    <xf numFmtId="164" fontId="0" fillId="0" borderId="0" xfId="0" applyNumberFormat="1"/>
    <xf numFmtId="165" fontId="0" fillId="0" borderId="0" xfId="0" applyNumberFormat="1"/>
    <xf numFmtId="169" fontId="0" fillId="2" borderId="0" xfId="0" applyNumberFormat="1" applyFill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$-240A]\ * #,##0_-;\-[$$-240A]\ * #,##0_-;_-[$$-240A]\ * &quot;-&quot;_-;_-@_-"/>
    </dxf>
    <dxf>
      <numFmt numFmtId="165" formatCode="_-[$$-240A]\ * #,##0_-;\-[$$-240A]\ * #,##0_-;_-[$$-240A]\ * &quot;-&quot;_-;_-@_-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9" formatCode="_-[$$-409]* #,##0_ ;_-[$$-409]* \-#,##0\ ;_-[$$-409]* &quot;-&quot;??_ ;_-@_ 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169" formatCode="_-[$$-409]* #,##0_ ;_-[$$-409]* \-#,##0\ ;_-[$$-409]* &quot;-&quot;??_ ;_-@_ 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2" formatCode="0.00"/>
    </dxf>
    <dxf>
      <numFmt numFmtId="2" formatCode="0.00"/>
      <fill>
        <patternFill patternType="solid">
          <fgColor indexed="64"/>
          <bgColor rgb="FFFFFF00"/>
        </patternFill>
      </fill>
    </dxf>
    <dxf>
      <numFmt numFmtId="2" formatCode="0.00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0.0%"/>
      <fill>
        <patternFill patternType="solid">
          <fgColor indexed="64"/>
          <bgColor rgb="FFFFFF00"/>
        </patternFill>
      </fill>
    </dxf>
    <dxf>
      <numFmt numFmtId="168" formatCode="_(* #,##0.0_);_(* \(#,##0.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0.0%"/>
    </dxf>
    <dxf>
      <numFmt numFmtId="167" formatCode="0.0%"/>
    </dxf>
    <dxf>
      <numFmt numFmtId="167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2" formatCode="0.00"/>
    </dxf>
    <dxf>
      <numFmt numFmtId="2" formatCode="0.00"/>
      <fill>
        <patternFill patternType="solid">
          <fgColor indexed="64"/>
          <bgColor rgb="FFFFFF00"/>
        </patternFill>
      </fill>
    </dxf>
    <dxf>
      <numFmt numFmtId="2" formatCode="0.00"/>
      <fill>
        <patternFill patternType="solid">
          <fgColor indexed="64"/>
          <bgColor rgb="FFFFFF00"/>
        </patternFill>
      </fill>
    </dxf>
    <dxf>
      <border diagonalUp="0" diagonalDown="0">
        <left style="medium">
          <color indexed="64"/>
        </left>
        <right/>
        <top/>
        <bottom/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Perfil</a:t>
            </a:r>
            <a:r>
              <a:rPr lang="en-US" baseline="0"/>
              <a:t> de Carga Horario General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Perfiles!$M$4:$M$27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Perfiles!$S$4:$S$27</c:f>
              <c:numCache>
                <c:formatCode>_(* #,##0.0_);_(* \(#,##0.0\);_(* "-"??_);_(@_)</c:formatCode>
                <c:ptCount val="24"/>
                <c:pt idx="0">
                  <c:v>0.78129492399439837</c:v>
                </c:pt>
                <c:pt idx="1">
                  <c:v>0.78129492399439837</c:v>
                </c:pt>
                <c:pt idx="2">
                  <c:v>0.78129492399439837</c:v>
                </c:pt>
                <c:pt idx="3">
                  <c:v>0.78129492399439837</c:v>
                </c:pt>
                <c:pt idx="4">
                  <c:v>0.78129492399439837</c:v>
                </c:pt>
                <c:pt idx="5">
                  <c:v>0.78129492399439837</c:v>
                </c:pt>
                <c:pt idx="6">
                  <c:v>0.96827148700160481</c:v>
                </c:pt>
                <c:pt idx="7">
                  <c:v>1.1552480500088114</c:v>
                </c:pt>
                <c:pt idx="8">
                  <c:v>1.1552480500088114</c:v>
                </c:pt>
                <c:pt idx="9">
                  <c:v>6.0722864748054661</c:v>
                </c:pt>
                <c:pt idx="10">
                  <c:v>6.0722864748054661</c:v>
                </c:pt>
                <c:pt idx="11">
                  <c:v>6.0722864748054661</c:v>
                </c:pt>
                <c:pt idx="12">
                  <c:v>6.1969375168102712</c:v>
                </c:pt>
                <c:pt idx="13">
                  <c:v>6.0722864748054661</c:v>
                </c:pt>
                <c:pt idx="14">
                  <c:v>6.0722864748054661</c:v>
                </c:pt>
                <c:pt idx="15">
                  <c:v>6.0722864748054661</c:v>
                </c:pt>
                <c:pt idx="16">
                  <c:v>6.0722864748054661</c:v>
                </c:pt>
                <c:pt idx="17">
                  <c:v>1.2175735710112132</c:v>
                </c:pt>
                <c:pt idx="18">
                  <c:v>1.653852218028028</c:v>
                </c:pt>
                <c:pt idx="19">
                  <c:v>1.653852218028028</c:v>
                </c:pt>
                <c:pt idx="20">
                  <c:v>1.466875655020822</c:v>
                </c:pt>
                <c:pt idx="21">
                  <c:v>1.0305970080040068</c:v>
                </c:pt>
                <c:pt idx="22">
                  <c:v>1.0305970080040068</c:v>
                </c:pt>
                <c:pt idx="23">
                  <c:v>1.0305970080040068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42-494E-A92C-436950DC2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8902639"/>
        <c:axId val="948904351"/>
      </c:barChart>
      <c:catAx>
        <c:axId val="94890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904351"/>
        <c:crosses val="autoZero"/>
        <c:auto val="1"/>
        <c:lblAlgn val="ctr"/>
        <c:lblOffset val="100"/>
        <c:noMultiLvlLbl val="0"/>
      </c:catAx>
      <c:valAx>
        <c:axId val="94890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Demanda [kWh]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_);_(* \(#,##0.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902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Perfil de Carga Horario Detalle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Perfil Horario Detalle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(Perfiles!$A$4:$A$171,Perfiles!$C$4:$C$171)</c:f>
              <c:strCache>
                <c:ptCount val="336"/>
                <c:pt idx="0">
                  <c:v>Lunes</c:v>
                </c:pt>
                <c:pt idx="1">
                  <c:v>Lunes</c:v>
                </c:pt>
                <c:pt idx="2">
                  <c:v>Lunes</c:v>
                </c:pt>
                <c:pt idx="3">
                  <c:v>Lunes</c:v>
                </c:pt>
                <c:pt idx="4">
                  <c:v>Lunes</c:v>
                </c:pt>
                <c:pt idx="5">
                  <c:v>Lunes</c:v>
                </c:pt>
                <c:pt idx="6">
                  <c:v>Lunes</c:v>
                </c:pt>
                <c:pt idx="7">
                  <c:v>Lunes</c:v>
                </c:pt>
                <c:pt idx="8">
                  <c:v>Lunes</c:v>
                </c:pt>
                <c:pt idx="9">
                  <c:v>Lunes</c:v>
                </c:pt>
                <c:pt idx="10">
                  <c:v>Lunes</c:v>
                </c:pt>
                <c:pt idx="11">
                  <c:v>Lunes</c:v>
                </c:pt>
                <c:pt idx="12">
                  <c:v>Lunes</c:v>
                </c:pt>
                <c:pt idx="13">
                  <c:v>Lunes</c:v>
                </c:pt>
                <c:pt idx="14">
                  <c:v>Lunes</c:v>
                </c:pt>
                <c:pt idx="15">
                  <c:v>Lunes</c:v>
                </c:pt>
                <c:pt idx="16">
                  <c:v>Lunes</c:v>
                </c:pt>
                <c:pt idx="17">
                  <c:v>Lunes</c:v>
                </c:pt>
                <c:pt idx="18">
                  <c:v>Lunes</c:v>
                </c:pt>
                <c:pt idx="19">
                  <c:v>Lunes</c:v>
                </c:pt>
                <c:pt idx="20">
                  <c:v>Lunes</c:v>
                </c:pt>
                <c:pt idx="21">
                  <c:v>Lunes</c:v>
                </c:pt>
                <c:pt idx="22">
                  <c:v>Lunes</c:v>
                </c:pt>
                <c:pt idx="23">
                  <c:v>Lunes</c:v>
                </c:pt>
                <c:pt idx="24">
                  <c:v>Martes</c:v>
                </c:pt>
                <c:pt idx="25">
                  <c:v>Martes</c:v>
                </c:pt>
                <c:pt idx="26">
                  <c:v>Martes</c:v>
                </c:pt>
                <c:pt idx="27">
                  <c:v>Martes</c:v>
                </c:pt>
                <c:pt idx="28">
                  <c:v>Martes</c:v>
                </c:pt>
                <c:pt idx="29">
                  <c:v>Martes</c:v>
                </c:pt>
                <c:pt idx="30">
                  <c:v>Martes</c:v>
                </c:pt>
                <c:pt idx="31">
                  <c:v>Martes</c:v>
                </c:pt>
                <c:pt idx="32">
                  <c:v>Martes</c:v>
                </c:pt>
                <c:pt idx="33">
                  <c:v>Martes</c:v>
                </c:pt>
                <c:pt idx="34">
                  <c:v>Martes</c:v>
                </c:pt>
                <c:pt idx="35">
                  <c:v>Martes</c:v>
                </c:pt>
                <c:pt idx="36">
                  <c:v>Martes</c:v>
                </c:pt>
                <c:pt idx="37">
                  <c:v>Martes</c:v>
                </c:pt>
                <c:pt idx="38">
                  <c:v>Martes</c:v>
                </c:pt>
                <c:pt idx="39">
                  <c:v>Martes</c:v>
                </c:pt>
                <c:pt idx="40">
                  <c:v>Martes</c:v>
                </c:pt>
                <c:pt idx="41">
                  <c:v>Martes</c:v>
                </c:pt>
                <c:pt idx="42">
                  <c:v>Martes</c:v>
                </c:pt>
                <c:pt idx="43">
                  <c:v>Martes</c:v>
                </c:pt>
                <c:pt idx="44">
                  <c:v>Martes</c:v>
                </c:pt>
                <c:pt idx="45">
                  <c:v>Martes</c:v>
                </c:pt>
                <c:pt idx="46">
                  <c:v>Martes</c:v>
                </c:pt>
                <c:pt idx="47">
                  <c:v>Martes</c:v>
                </c:pt>
                <c:pt idx="48">
                  <c:v>Miércoles</c:v>
                </c:pt>
                <c:pt idx="49">
                  <c:v>Miércoles</c:v>
                </c:pt>
                <c:pt idx="50">
                  <c:v>Miércoles</c:v>
                </c:pt>
                <c:pt idx="51">
                  <c:v>Miércoles</c:v>
                </c:pt>
                <c:pt idx="52">
                  <c:v>Miércoles</c:v>
                </c:pt>
                <c:pt idx="53">
                  <c:v>Miércoles</c:v>
                </c:pt>
                <c:pt idx="54">
                  <c:v>Miércoles</c:v>
                </c:pt>
                <c:pt idx="55">
                  <c:v>Miércoles</c:v>
                </c:pt>
                <c:pt idx="56">
                  <c:v>Miércoles</c:v>
                </c:pt>
                <c:pt idx="57">
                  <c:v>Miércoles</c:v>
                </c:pt>
                <c:pt idx="58">
                  <c:v>Miércoles</c:v>
                </c:pt>
                <c:pt idx="59">
                  <c:v>Miércoles</c:v>
                </c:pt>
                <c:pt idx="60">
                  <c:v>Miércoles</c:v>
                </c:pt>
                <c:pt idx="61">
                  <c:v>Miércoles</c:v>
                </c:pt>
                <c:pt idx="62">
                  <c:v>Miércoles</c:v>
                </c:pt>
                <c:pt idx="63">
                  <c:v>Miércoles</c:v>
                </c:pt>
                <c:pt idx="64">
                  <c:v>Miércoles</c:v>
                </c:pt>
                <c:pt idx="65">
                  <c:v>Miércoles</c:v>
                </c:pt>
                <c:pt idx="66">
                  <c:v>Miércoles</c:v>
                </c:pt>
                <c:pt idx="67">
                  <c:v>Miércoles</c:v>
                </c:pt>
                <c:pt idx="68">
                  <c:v>Miércoles</c:v>
                </c:pt>
                <c:pt idx="69">
                  <c:v>Miércoles</c:v>
                </c:pt>
                <c:pt idx="70">
                  <c:v>Miércoles</c:v>
                </c:pt>
                <c:pt idx="71">
                  <c:v>Miércoles</c:v>
                </c:pt>
                <c:pt idx="72">
                  <c:v>Jueves</c:v>
                </c:pt>
                <c:pt idx="73">
                  <c:v>Jueves</c:v>
                </c:pt>
                <c:pt idx="74">
                  <c:v>Jueves</c:v>
                </c:pt>
                <c:pt idx="75">
                  <c:v>Jueves</c:v>
                </c:pt>
                <c:pt idx="76">
                  <c:v>Jueves</c:v>
                </c:pt>
                <c:pt idx="77">
                  <c:v>Jueves</c:v>
                </c:pt>
                <c:pt idx="78">
                  <c:v>Jueves</c:v>
                </c:pt>
                <c:pt idx="79">
                  <c:v>Jueves</c:v>
                </c:pt>
                <c:pt idx="80">
                  <c:v>Jueves</c:v>
                </c:pt>
                <c:pt idx="81">
                  <c:v>Jueves</c:v>
                </c:pt>
                <c:pt idx="82">
                  <c:v>Jueves</c:v>
                </c:pt>
                <c:pt idx="83">
                  <c:v>Jueves</c:v>
                </c:pt>
                <c:pt idx="84">
                  <c:v>Jueves</c:v>
                </c:pt>
                <c:pt idx="85">
                  <c:v>Jueves</c:v>
                </c:pt>
                <c:pt idx="86">
                  <c:v>Jueves</c:v>
                </c:pt>
                <c:pt idx="87">
                  <c:v>Jueves</c:v>
                </c:pt>
                <c:pt idx="88">
                  <c:v>Jueves</c:v>
                </c:pt>
                <c:pt idx="89">
                  <c:v>Jueves</c:v>
                </c:pt>
                <c:pt idx="90">
                  <c:v>Jueves</c:v>
                </c:pt>
                <c:pt idx="91">
                  <c:v>Jueves</c:v>
                </c:pt>
                <c:pt idx="92">
                  <c:v>Jueves</c:v>
                </c:pt>
                <c:pt idx="93">
                  <c:v>Jueves</c:v>
                </c:pt>
                <c:pt idx="94">
                  <c:v>Jueves</c:v>
                </c:pt>
                <c:pt idx="95">
                  <c:v>Jueves</c:v>
                </c:pt>
                <c:pt idx="96">
                  <c:v>Viernes</c:v>
                </c:pt>
                <c:pt idx="97">
                  <c:v>Viernes</c:v>
                </c:pt>
                <c:pt idx="98">
                  <c:v>Viernes</c:v>
                </c:pt>
                <c:pt idx="99">
                  <c:v>Viernes</c:v>
                </c:pt>
                <c:pt idx="100">
                  <c:v>Viernes</c:v>
                </c:pt>
                <c:pt idx="101">
                  <c:v>Viernes</c:v>
                </c:pt>
                <c:pt idx="102">
                  <c:v>Viernes</c:v>
                </c:pt>
                <c:pt idx="103">
                  <c:v>Viernes</c:v>
                </c:pt>
                <c:pt idx="104">
                  <c:v>Viernes</c:v>
                </c:pt>
                <c:pt idx="105">
                  <c:v>Viernes</c:v>
                </c:pt>
                <c:pt idx="106">
                  <c:v>Viernes</c:v>
                </c:pt>
                <c:pt idx="107">
                  <c:v>Viernes</c:v>
                </c:pt>
                <c:pt idx="108">
                  <c:v>Viernes</c:v>
                </c:pt>
                <c:pt idx="109">
                  <c:v>Viernes</c:v>
                </c:pt>
                <c:pt idx="110">
                  <c:v>Viernes</c:v>
                </c:pt>
                <c:pt idx="111">
                  <c:v>Viernes</c:v>
                </c:pt>
                <c:pt idx="112">
                  <c:v>Viernes</c:v>
                </c:pt>
                <c:pt idx="113">
                  <c:v>Viernes</c:v>
                </c:pt>
                <c:pt idx="114">
                  <c:v>Viernes</c:v>
                </c:pt>
                <c:pt idx="115">
                  <c:v>Viernes</c:v>
                </c:pt>
                <c:pt idx="116">
                  <c:v>Viernes</c:v>
                </c:pt>
                <c:pt idx="117">
                  <c:v>Viernes</c:v>
                </c:pt>
                <c:pt idx="118">
                  <c:v>Viernes</c:v>
                </c:pt>
                <c:pt idx="119">
                  <c:v>Viernes</c:v>
                </c:pt>
                <c:pt idx="120">
                  <c:v>Sábado</c:v>
                </c:pt>
                <c:pt idx="121">
                  <c:v>Sábado</c:v>
                </c:pt>
                <c:pt idx="122">
                  <c:v>Sábado</c:v>
                </c:pt>
                <c:pt idx="123">
                  <c:v>Sábado</c:v>
                </c:pt>
                <c:pt idx="124">
                  <c:v>Sábado</c:v>
                </c:pt>
                <c:pt idx="125">
                  <c:v>Sábado</c:v>
                </c:pt>
                <c:pt idx="126">
                  <c:v>Sábado</c:v>
                </c:pt>
                <c:pt idx="127">
                  <c:v>Sábado</c:v>
                </c:pt>
                <c:pt idx="128">
                  <c:v>Sábado</c:v>
                </c:pt>
                <c:pt idx="129">
                  <c:v>Sábado</c:v>
                </c:pt>
                <c:pt idx="130">
                  <c:v>Sábado</c:v>
                </c:pt>
                <c:pt idx="131">
                  <c:v>Sábado</c:v>
                </c:pt>
                <c:pt idx="132">
                  <c:v>Sábado</c:v>
                </c:pt>
                <c:pt idx="133">
                  <c:v>Sábado</c:v>
                </c:pt>
                <c:pt idx="134">
                  <c:v>Sábado</c:v>
                </c:pt>
                <c:pt idx="135">
                  <c:v>Sábado</c:v>
                </c:pt>
                <c:pt idx="136">
                  <c:v>Sábado</c:v>
                </c:pt>
                <c:pt idx="137">
                  <c:v>Sábado</c:v>
                </c:pt>
                <c:pt idx="138">
                  <c:v>Sábado</c:v>
                </c:pt>
                <c:pt idx="139">
                  <c:v>Sábado</c:v>
                </c:pt>
                <c:pt idx="140">
                  <c:v>Sábado</c:v>
                </c:pt>
                <c:pt idx="141">
                  <c:v>Sábado</c:v>
                </c:pt>
                <c:pt idx="142">
                  <c:v>Sábado</c:v>
                </c:pt>
                <c:pt idx="143">
                  <c:v>Sábado</c:v>
                </c:pt>
                <c:pt idx="144">
                  <c:v>Domingo</c:v>
                </c:pt>
                <c:pt idx="145">
                  <c:v>Domingo</c:v>
                </c:pt>
                <c:pt idx="146">
                  <c:v>Domingo</c:v>
                </c:pt>
                <c:pt idx="147">
                  <c:v>Domingo</c:v>
                </c:pt>
                <c:pt idx="148">
                  <c:v>Domingo</c:v>
                </c:pt>
                <c:pt idx="149">
                  <c:v>Domingo</c:v>
                </c:pt>
                <c:pt idx="150">
                  <c:v>Domingo</c:v>
                </c:pt>
                <c:pt idx="151">
                  <c:v>Domingo</c:v>
                </c:pt>
                <c:pt idx="152">
                  <c:v>Domingo</c:v>
                </c:pt>
                <c:pt idx="153">
                  <c:v>Domingo</c:v>
                </c:pt>
                <c:pt idx="154">
                  <c:v>Domingo</c:v>
                </c:pt>
                <c:pt idx="155">
                  <c:v>Domingo</c:v>
                </c:pt>
                <c:pt idx="156">
                  <c:v>Domingo</c:v>
                </c:pt>
                <c:pt idx="157">
                  <c:v>Domingo</c:v>
                </c:pt>
                <c:pt idx="158">
                  <c:v>Domingo</c:v>
                </c:pt>
                <c:pt idx="159">
                  <c:v>Domingo</c:v>
                </c:pt>
                <c:pt idx="160">
                  <c:v>Domingo</c:v>
                </c:pt>
                <c:pt idx="161">
                  <c:v>Domingo</c:v>
                </c:pt>
                <c:pt idx="162">
                  <c:v>Domingo</c:v>
                </c:pt>
                <c:pt idx="163">
                  <c:v>Domingo</c:v>
                </c:pt>
                <c:pt idx="164">
                  <c:v>Domingo</c:v>
                </c:pt>
                <c:pt idx="165">
                  <c:v>Domingo</c:v>
                </c:pt>
                <c:pt idx="166">
                  <c:v>Domingo</c:v>
                </c:pt>
                <c:pt idx="167">
                  <c:v>Domingo</c:v>
                </c:pt>
                <c:pt idx="168">
                  <c:v>0</c:v>
                </c:pt>
                <c:pt idx="169">
                  <c:v>1</c:v>
                </c:pt>
                <c:pt idx="170">
                  <c:v>2</c:v>
                </c:pt>
                <c:pt idx="171">
                  <c:v>3</c:v>
                </c:pt>
                <c:pt idx="172">
                  <c:v>4</c:v>
                </c:pt>
                <c:pt idx="173">
                  <c:v>5</c:v>
                </c:pt>
                <c:pt idx="174">
                  <c:v>6</c:v>
                </c:pt>
                <c:pt idx="175">
                  <c:v>7</c:v>
                </c:pt>
                <c:pt idx="176">
                  <c:v>8</c:v>
                </c:pt>
                <c:pt idx="177">
                  <c:v>9</c:v>
                </c:pt>
                <c:pt idx="178">
                  <c:v>10</c:v>
                </c:pt>
                <c:pt idx="179">
                  <c:v>11</c:v>
                </c:pt>
                <c:pt idx="180">
                  <c:v>12</c:v>
                </c:pt>
                <c:pt idx="181">
                  <c:v>13</c:v>
                </c:pt>
                <c:pt idx="182">
                  <c:v>14</c:v>
                </c:pt>
                <c:pt idx="183">
                  <c:v>15</c:v>
                </c:pt>
                <c:pt idx="184">
                  <c:v>16</c:v>
                </c:pt>
                <c:pt idx="185">
                  <c:v>17</c:v>
                </c:pt>
                <c:pt idx="186">
                  <c:v>18</c:v>
                </c:pt>
                <c:pt idx="187">
                  <c:v>19</c:v>
                </c:pt>
                <c:pt idx="188">
                  <c:v>20</c:v>
                </c:pt>
                <c:pt idx="189">
                  <c:v>21</c:v>
                </c:pt>
                <c:pt idx="190">
                  <c:v>22</c:v>
                </c:pt>
                <c:pt idx="191">
                  <c:v>23</c:v>
                </c:pt>
                <c:pt idx="192">
                  <c:v>0</c:v>
                </c:pt>
                <c:pt idx="193">
                  <c:v>1</c:v>
                </c:pt>
                <c:pt idx="194">
                  <c:v>2</c:v>
                </c:pt>
                <c:pt idx="195">
                  <c:v>3</c:v>
                </c:pt>
                <c:pt idx="196">
                  <c:v>4</c:v>
                </c:pt>
                <c:pt idx="197">
                  <c:v>5</c:v>
                </c:pt>
                <c:pt idx="198">
                  <c:v>6</c:v>
                </c:pt>
                <c:pt idx="199">
                  <c:v>7</c:v>
                </c:pt>
                <c:pt idx="200">
                  <c:v>8</c:v>
                </c:pt>
                <c:pt idx="201">
                  <c:v>9</c:v>
                </c:pt>
                <c:pt idx="202">
                  <c:v>10</c:v>
                </c:pt>
                <c:pt idx="203">
                  <c:v>11</c:v>
                </c:pt>
                <c:pt idx="204">
                  <c:v>12</c:v>
                </c:pt>
                <c:pt idx="205">
                  <c:v>13</c:v>
                </c:pt>
                <c:pt idx="206">
                  <c:v>14</c:v>
                </c:pt>
                <c:pt idx="207">
                  <c:v>15</c:v>
                </c:pt>
                <c:pt idx="208">
                  <c:v>16</c:v>
                </c:pt>
                <c:pt idx="209">
                  <c:v>17</c:v>
                </c:pt>
                <c:pt idx="210">
                  <c:v>18</c:v>
                </c:pt>
                <c:pt idx="211">
                  <c:v>19</c:v>
                </c:pt>
                <c:pt idx="212">
                  <c:v>20</c:v>
                </c:pt>
                <c:pt idx="213">
                  <c:v>21</c:v>
                </c:pt>
                <c:pt idx="214">
                  <c:v>22</c:v>
                </c:pt>
                <c:pt idx="215">
                  <c:v>23</c:v>
                </c:pt>
                <c:pt idx="216">
                  <c:v>0</c:v>
                </c:pt>
                <c:pt idx="217">
                  <c:v>1</c:v>
                </c:pt>
                <c:pt idx="218">
                  <c:v>2</c:v>
                </c:pt>
                <c:pt idx="219">
                  <c:v>3</c:v>
                </c:pt>
                <c:pt idx="220">
                  <c:v>4</c:v>
                </c:pt>
                <c:pt idx="221">
                  <c:v>5</c:v>
                </c:pt>
                <c:pt idx="222">
                  <c:v>6</c:v>
                </c:pt>
                <c:pt idx="223">
                  <c:v>7</c:v>
                </c:pt>
                <c:pt idx="224">
                  <c:v>8</c:v>
                </c:pt>
                <c:pt idx="225">
                  <c:v>9</c:v>
                </c:pt>
                <c:pt idx="226">
                  <c:v>10</c:v>
                </c:pt>
                <c:pt idx="227">
                  <c:v>11</c:v>
                </c:pt>
                <c:pt idx="228">
                  <c:v>12</c:v>
                </c:pt>
                <c:pt idx="229">
                  <c:v>13</c:v>
                </c:pt>
                <c:pt idx="230">
                  <c:v>14</c:v>
                </c:pt>
                <c:pt idx="231">
                  <c:v>15</c:v>
                </c:pt>
                <c:pt idx="232">
                  <c:v>16</c:v>
                </c:pt>
                <c:pt idx="233">
                  <c:v>17</c:v>
                </c:pt>
                <c:pt idx="234">
                  <c:v>18</c:v>
                </c:pt>
                <c:pt idx="235">
                  <c:v>19</c:v>
                </c:pt>
                <c:pt idx="236">
                  <c:v>20</c:v>
                </c:pt>
                <c:pt idx="237">
                  <c:v>21</c:v>
                </c:pt>
                <c:pt idx="238">
                  <c:v>22</c:v>
                </c:pt>
                <c:pt idx="239">
                  <c:v>23</c:v>
                </c:pt>
                <c:pt idx="240">
                  <c:v>0</c:v>
                </c:pt>
                <c:pt idx="241">
                  <c:v>1</c:v>
                </c:pt>
                <c:pt idx="242">
                  <c:v>2</c:v>
                </c:pt>
                <c:pt idx="243">
                  <c:v>3</c:v>
                </c:pt>
                <c:pt idx="244">
                  <c:v>4</c:v>
                </c:pt>
                <c:pt idx="245">
                  <c:v>5</c:v>
                </c:pt>
                <c:pt idx="246">
                  <c:v>6</c:v>
                </c:pt>
                <c:pt idx="247">
                  <c:v>7</c:v>
                </c:pt>
                <c:pt idx="248">
                  <c:v>8</c:v>
                </c:pt>
                <c:pt idx="249">
                  <c:v>9</c:v>
                </c:pt>
                <c:pt idx="250">
                  <c:v>10</c:v>
                </c:pt>
                <c:pt idx="251">
                  <c:v>11</c:v>
                </c:pt>
                <c:pt idx="252">
                  <c:v>12</c:v>
                </c:pt>
                <c:pt idx="253">
                  <c:v>13</c:v>
                </c:pt>
                <c:pt idx="254">
                  <c:v>14</c:v>
                </c:pt>
                <c:pt idx="255">
                  <c:v>15</c:v>
                </c:pt>
                <c:pt idx="256">
                  <c:v>16</c:v>
                </c:pt>
                <c:pt idx="257">
                  <c:v>17</c:v>
                </c:pt>
                <c:pt idx="258">
                  <c:v>18</c:v>
                </c:pt>
                <c:pt idx="259">
                  <c:v>19</c:v>
                </c:pt>
                <c:pt idx="260">
                  <c:v>20</c:v>
                </c:pt>
                <c:pt idx="261">
                  <c:v>21</c:v>
                </c:pt>
                <c:pt idx="262">
                  <c:v>22</c:v>
                </c:pt>
                <c:pt idx="263">
                  <c:v>23</c:v>
                </c:pt>
                <c:pt idx="264">
                  <c:v>0</c:v>
                </c:pt>
                <c:pt idx="265">
                  <c:v>1</c:v>
                </c:pt>
                <c:pt idx="266">
                  <c:v>2</c:v>
                </c:pt>
                <c:pt idx="267">
                  <c:v>3</c:v>
                </c:pt>
                <c:pt idx="268">
                  <c:v>4</c:v>
                </c:pt>
                <c:pt idx="269">
                  <c:v>5</c:v>
                </c:pt>
                <c:pt idx="270">
                  <c:v>6</c:v>
                </c:pt>
                <c:pt idx="271">
                  <c:v>7</c:v>
                </c:pt>
                <c:pt idx="272">
                  <c:v>8</c:v>
                </c:pt>
                <c:pt idx="273">
                  <c:v>9</c:v>
                </c:pt>
                <c:pt idx="274">
                  <c:v>10</c:v>
                </c:pt>
                <c:pt idx="275">
                  <c:v>11</c:v>
                </c:pt>
                <c:pt idx="276">
                  <c:v>12</c:v>
                </c:pt>
                <c:pt idx="277">
                  <c:v>13</c:v>
                </c:pt>
                <c:pt idx="278">
                  <c:v>14</c:v>
                </c:pt>
                <c:pt idx="279">
                  <c:v>15</c:v>
                </c:pt>
                <c:pt idx="280">
                  <c:v>16</c:v>
                </c:pt>
                <c:pt idx="281">
                  <c:v>17</c:v>
                </c:pt>
                <c:pt idx="282">
                  <c:v>18</c:v>
                </c:pt>
                <c:pt idx="283">
                  <c:v>19</c:v>
                </c:pt>
                <c:pt idx="284">
                  <c:v>20</c:v>
                </c:pt>
                <c:pt idx="285">
                  <c:v>21</c:v>
                </c:pt>
                <c:pt idx="286">
                  <c:v>22</c:v>
                </c:pt>
                <c:pt idx="287">
                  <c:v>23</c:v>
                </c:pt>
                <c:pt idx="288">
                  <c:v>0</c:v>
                </c:pt>
                <c:pt idx="289">
                  <c:v>1</c:v>
                </c:pt>
                <c:pt idx="290">
                  <c:v>2</c:v>
                </c:pt>
                <c:pt idx="291">
                  <c:v>3</c:v>
                </c:pt>
                <c:pt idx="292">
                  <c:v>4</c:v>
                </c:pt>
                <c:pt idx="293">
                  <c:v>5</c:v>
                </c:pt>
                <c:pt idx="294">
                  <c:v>6</c:v>
                </c:pt>
                <c:pt idx="295">
                  <c:v>7</c:v>
                </c:pt>
                <c:pt idx="296">
                  <c:v>8</c:v>
                </c:pt>
                <c:pt idx="297">
                  <c:v>9</c:v>
                </c:pt>
                <c:pt idx="298">
                  <c:v>10</c:v>
                </c:pt>
                <c:pt idx="299">
                  <c:v>11</c:v>
                </c:pt>
                <c:pt idx="300">
                  <c:v>12</c:v>
                </c:pt>
                <c:pt idx="301">
                  <c:v>13</c:v>
                </c:pt>
                <c:pt idx="302">
                  <c:v>14</c:v>
                </c:pt>
                <c:pt idx="303">
                  <c:v>15</c:v>
                </c:pt>
                <c:pt idx="304">
                  <c:v>16</c:v>
                </c:pt>
                <c:pt idx="305">
                  <c:v>17</c:v>
                </c:pt>
                <c:pt idx="306">
                  <c:v>18</c:v>
                </c:pt>
                <c:pt idx="307">
                  <c:v>19</c:v>
                </c:pt>
                <c:pt idx="308">
                  <c:v>20</c:v>
                </c:pt>
                <c:pt idx="309">
                  <c:v>21</c:v>
                </c:pt>
                <c:pt idx="310">
                  <c:v>22</c:v>
                </c:pt>
                <c:pt idx="311">
                  <c:v>23</c:v>
                </c:pt>
                <c:pt idx="312">
                  <c:v>0</c:v>
                </c:pt>
                <c:pt idx="313">
                  <c:v>1</c:v>
                </c:pt>
                <c:pt idx="314">
                  <c:v>2</c:v>
                </c:pt>
                <c:pt idx="315">
                  <c:v>3</c:v>
                </c:pt>
                <c:pt idx="316">
                  <c:v>4</c:v>
                </c:pt>
                <c:pt idx="317">
                  <c:v>5</c:v>
                </c:pt>
                <c:pt idx="318">
                  <c:v>6</c:v>
                </c:pt>
                <c:pt idx="319">
                  <c:v>7</c:v>
                </c:pt>
                <c:pt idx="320">
                  <c:v>8</c:v>
                </c:pt>
                <c:pt idx="321">
                  <c:v>9</c:v>
                </c:pt>
                <c:pt idx="322">
                  <c:v>10</c:v>
                </c:pt>
                <c:pt idx="323">
                  <c:v>11</c:v>
                </c:pt>
                <c:pt idx="324">
                  <c:v>12</c:v>
                </c:pt>
                <c:pt idx="325">
                  <c:v>13</c:v>
                </c:pt>
                <c:pt idx="326">
                  <c:v>14</c:v>
                </c:pt>
                <c:pt idx="327">
                  <c:v>15</c:v>
                </c:pt>
                <c:pt idx="328">
                  <c:v>16</c:v>
                </c:pt>
                <c:pt idx="329">
                  <c:v>17</c:v>
                </c:pt>
                <c:pt idx="330">
                  <c:v>18</c:v>
                </c:pt>
                <c:pt idx="331">
                  <c:v>19</c:v>
                </c:pt>
                <c:pt idx="332">
                  <c:v>20</c:v>
                </c:pt>
                <c:pt idx="333">
                  <c:v>21</c:v>
                </c:pt>
                <c:pt idx="334">
                  <c:v>22</c:v>
                </c:pt>
                <c:pt idx="335">
                  <c:v>23</c:v>
                </c:pt>
              </c:strCache>
            </c:strRef>
          </c:cat>
          <c:val>
            <c:numRef>
              <c:f>Perfiles!$F$4:$F$171</c:f>
              <c:numCache>
                <c:formatCode>0.00</c:formatCode>
                <c:ptCount val="168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1.2000000000000002</c:v>
                </c:pt>
                <c:pt idx="8">
                  <c:v>2.1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1.8</c:v>
                </c:pt>
                <c:pt idx="13">
                  <c:v>1.8</c:v>
                </c:pt>
                <c:pt idx="14">
                  <c:v>1.8</c:v>
                </c:pt>
                <c:pt idx="15">
                  <c:v>1.8</c:v>
                </c:pt>
                <c:pt idx="16">
                  <c:v>1.8</c:v>
                </c:pt>
                <c:pt idx="17">
                  <c:v>1.8</c:v>
                </c:pt>
                <c:pt idx="18">
                  <c:v>1.6</c:v>
                </c:pt>
                <c:pt idx="19">
                  <c:v>1.6</c:v>
                </c:pt>
                <c:pt idx="20">
                  <c:v>1.6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1.2000000000000002</c:v>
                </c:pt>
                <c:pt idx="32">
                  <c:v>2.1</c:v>
                </c:pt>
                <c:pt idx="33">
                  <c:v>1.8</c:v>
                </c:pt>
                <c:pt idx="34">
                  <c:v>1.8</c:v>
                </c:pt>
                <c:pt idx="35">
                  <c:v>1.8</c:v>
                </c:pt>
                <c:pt idx="36">
                  <c:v>1.8</c:v>
                </c:pt>
                <c:pt idx="37">
                  <c:v>1.8</c:v>
                </c:pt>
                <c:pt idx="38">
                  <c:v>1.8</c:v>
                </c:pt>
                <c:pt idx="39">
                  <c:v>1.8</c:v>
                </c:pt>
                <c:pt idx="40">
                  <c:v>1.8</c:v>
                </c:pt>
                <c:pt idx="41">
                  <c:v>1.8</c:v>
                </c:pt>
                <c:pt idx="42">
                  <c:v>1.6</c:v>
                </c:pt>
                <c:pt idx="43">
                  <c:v>1.6</c:v>
                </c:pt>
                <c:pt idx="44">
                  <c:v>1.6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1.2000000000000002</c:v>
                </c:pt>
                <c:pt idx="56">
                  <c:v>2.1</c:v>
                </c:pt>
                <c:pt idx="57">
                  <c:v>1.8</c:v>
                </c:pt>
                <c:pt idx="58">
                  <c:v>1.8</c:v>
                </c:pt>
                <c:pt idx="59">
                  <c:v>1.8</c:v>
                </c:pt>
                <c:pt idx="60">
                  <c:v>1.8</c:v>
                </c:pt>
                <c:pt idx="61">
                  <c:v>1.8</c:v>
                </c:pt>
                <c:pt idx="62">
                  <c:v>1.8</c:v>
                </c:pt>
                <c:pt idx="63">
                  <c:v>1.8</c:v>
                </c:pt>
                <c:pt idx="64">
                  <c:v>1.8</c:v>
                </c:pt>
                <c:pt idx="65">
                  <c:v>1.8</c:v>
                </c:pt>
                <c:pt idx="66">
                  <c:v>1.6</c:v>
                </c:pt>
                <c:pt idx="67">
                  <c:v>1.6</c:v>
                </c:pt>
                <c:pt idx="68">
                  <c:v>1.6</c:v>
                </c:pt>
                <c:pt idx="69">
                  <c:v>0.9</c:v>
                </c:pt>
                <c:pt idx="70">
                  <c:v>0.9</c:v>
                </c:pt>
                <c:pt idx="71">
                  <c:v>0.9</c:v>
                </c:pt>
                <c:pt idx="72">
                  <c:v>0.9</c:v>
                </c:pt>
                <c:pt idx="73">
                  <c:v>0.9</c:v>
                </c:pt>
                <c:pt idx="74">
                  <c:v>0.9</c:v>
                </c:pt>
                <c:pt idx="75">
                  <c:v>0.9</c:v>
                </c:pt>
                <c:pt idx="76">
                  <c:v>0.9</c:v>
                </c:pt>
                <c:pt idx="77">
                  <c:v>0.9</c:v>
                </c:pt>
                <c:pt idx="78">
                  <c:v>0.9</c:v>
                </c:pt>
                <c:pt idx="79">
                  <c:v>1.2000000000000002</c:v>
                </c:pt>
                <c:pt idx="80">
                  <c:v>2.1</c:v>
                </c:pt>
                <c:pt idx="81">
                  <c:v>1.8</c:v>
                </c:pt>
                <c:pt idx="82">
                  <c:v>1.8</c:v>
                </c:pt>
                <c:pt idx="83">
                  <c:v>1.8</c:v>
                </c:pt>
                <c:pt idx="84">
                  <c:v>1.8</c:v>
                </c:pt>
                <c:pt idx="85">
                  <c:v>1.8</c:v>
                </c:pt>
                <c:pt idx="86">
                  <c:v>1.8</c:v>
                </c:pt>
                <c:pt idx="87">
                  <c:v>1.8</c:v>
                </c:pt>
                <c:pt idx="88">
                  <c:v>1.8</c:v>
                </c:pt>
                <c:pt idx="89">
                  <c:v>1.8</c:v>
                </c:pt>
                <c:pt idx="90">
                  <c:v>1.6</c:v>
                </c:pt>
                <c:pt idx="91">
                  <c:v>1.6</c:v>
                </c:pt>
                <c:pt idx="92">
                  <c:v>1.6</c:v>
                </c:pt>
                <c:pt idx="93">
                  <c:v>0.9</c:v>
                </c:pt>
                <c:pt idx="94">
                  <c:v>0.9</c:v>
                </c:pt>
                <c:pt idx="95">
                  <c:v>0.9</c:v>
                </c:pt>
                <c:pt idx="96">
                  <c:v>0.9</c:v>
                </c:pt>
                <c:pt idx="97">
                  <c:v>0.9</c:v>
                </c:pt>
                <c:pt idx="98">
                  <c:v>0.9</c:v>
                </c:pt>
                <c:pt idx="99">
                  <c:v>0.9</c:v>
                </c:pt>
                <c:pt idx="100">
                  <c:v>0.9</c:v>
                </c:pt>
                <c:pt idx="101">
                  <c:v>0.9</c:v>
                </c:pt>
                <c:pt idx="102">
                  <c:v>0.9</c:v>
                </c:pt>
                <c:pt idx="103">
                  <c:v>1.2000000000000002</c:v>
                </c:pt>
                <c:pt idx="104">
                  <c:v>2.1</c:v>
                </c:pt>
                <c:pt idx="105">
                  <c:v>1.8</c:v>
                </c:pt>
                <c:pt idx="106">
                  <c:v>1.8</c:v>
                </c:pt>
                <c:pt idx="107">
                  <c:v>1.8</c:v>
                </c:pt>
                <c:pt idx="108">
                  <c:v>1.8</c:v>
                </c:pt>
                <c:pt idx="109">
                  <c:v>1.8</c:v>
                </c:pt>
                <c:pt idx="110">
                  <c:v>1.8</c:v>
                </c:pt>
                <c:pt idx="111">
                  <c:v>1.8</c:v>
                </c:pt>
                <c:pt idx="112">
                  <c:v>1.8</c:v>
                </c:pt>
                <c:pt idx="113">
                  <c:v>1.8</c:v>
                </c:pt>
                <c:pt idx="114">
                  <c:v>1.6</c:v>
                </c:pt>
                <c:pt idx="115">
                  <c:v>1.6</c:v>
                </c:pt>
                <c:pt idx="116">
                  <c:v>1.6</c:v>
                </c:pt>
                <c:pt idx="117">
                  <c:v>0.9</c:v>
                </c:pt>
                <c:pt idx="118">
                  <c:v>0.9</c:v>
                </c:pt>
                <c:pt idx="119">
                  <c:v>0.9</c:v>
                </c:pt>
                <c:pt idx="120">
                  <c:v>0.9</c:v>
                </c:pt>
                <c:pt idx="121">
                  <c:v>0.9</c:v>
                </c:pt>
                <c:pt idx="122">
                  <c:v>0.9</c:v>
                </c:pt>
                <c:pt idx="123">
                  <c:v>0.9</c:v>
                </c:pt>
                <c:pt idx="124">
                  <c:v>0.9</c:v>
                </c:pt>
                <c:pt idx="125">
                  <c:v>0.9</c:v>
                </c:pt>
                <c:pt idx="126">
                  <c:v>0.9</c:v>
                </c:pt>
                <c:pt idx="127">
                  <c:v>1.2000000000000002</c:v>
                </c:pt>
                <c:pt idx="128">
                  <c:v>1.2000000000000002</c:v>
                </c:pt>
                <c:pt idx="129">
                  <c:v>0.9</c:v>
                </c:pt>
                <c:pt idx="130">
                  <c:v>0.9</c:v>
                </c:pt>
                <c:pt idx="131">
                  <c:v>0.9</c:v>
                </c:pt>
                <c:pt idx="132">
                  <c:v>0.9</c:v>
                </c:pt>
                <c:pt idx="133">
                  <c:v>0.9</c:v>
                </c:pt>
                <c:pt idx="134">
                  <c:v>0.9</c:v>
                </c:pt>
                <c:pt idx="135">
                  <c:v>0.9</c:v>
                </c:pt>
                <c:pt idx="136">
                  <c:v>0.9</c:v>
                </c:pt>
                <c:pt idx="137">
                  <c:v>0.9</c:v>
                </c:pt>
                <c:pt idx="138">
                  <c:v>1.6</c:v>
                </c:pt>
                <c:pt idx="139">
                  <c:v>1.6</c:v>
                </c:pt>
                <c:pt idx="140">
                  <c:v>1.6</c:v>
                </c:pt>
                <c:pt idx="141">
                  <c:v>0.9</c:v>
                </c:pt>
                <c:pt idx="142">
                  <c:v>0.9</c:v>
                </c:pt>
                <c:pt idx="143">
                  <c:v>0.9</c:v>
                </c:pt>
                <c:pt idx="144">
                  <c:v>0.9</c:v>
                </c:pt>
                <c:pt idx="145">
                  <c:v>0.9</c:v>
                </c:pt>
                <c:pt idx="146">
                  <c:v>0.9</c:v>
                </c:pt>
                <c:pt idx="147">
                  <c:v>0.9</c:v>
                </c:pt>
                <c:pt idx="148">
                  <c:v>0.9</c:v>
                </c:pt>
                <c:pt idx="149">
                  <c:v>0.9</c:v>
                </c:pt>
                <c:pt idx="150">
                  <c:v>0.9</c:v>
                </c:pt>
                <c:pt idx="151">
                  <c:v>1.2000000000000002</c:v>
                </c:pt>
                <c:pt idx="152">
                  <c:v>1.2000000000000002</c:v>
                </c:pt>
                <c:pt idx="153">
                  <c:v>0.9</c:v>
                </c:pt>
                <c:pt idx="154">
                  <c:v>0.9</c:v>
                </c:pt>
                <c:pt idx="155">
                  <c:v>0.9</c:v>
                </c:pt>
                <c:pt idx="156">
                  <c:v>0.9</c:v>
                </c:pt>
                <c:pt idx="157">
                  <c:v>0.9</c:v>
                </c:pt>
                <c:pt idx="158">
                  <c:v>0.9</c:v>
                </c:pt>
                <c:pt idx="159">
                  <c:v>0.9</c:v>
                </c:pt>
                <c:pt idx="160">
                  <c:v>0.9</c:v>
                </c:pt>
                <c:pt idx="161">
                  <c:v>0.9</c:v>
                </c:pt>
                <c:pt idx="162">
                  <c:v>1.6</c:v>
                </c:pt>
                <c:pt idx="163">
                  <c:v>1.6</c:v>
                </c:pt>
                <c:pt idx="164">
                  <c:v>1.6</c:v>
                </c:pt>
                <c:pt idx="165">
                  <c:v>0.9</c:v>
                </c:pt>
                <c:pt idx="166">
                  <c:v>0.9</c:v>
                </c:pt>
                <c:pt idx="167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B-3442-9A7A-A01B5C8EA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977632"/>
        <c:axId val="211366608"/>
      </c:barChart>
      <c:catAx>
        <c:axId val="21097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66608"/>
        <c:crosses val="autoZero"/>
        <c:auto val="1"/>
        <c:lblAlgn val="ctr"/>
        <c:lblOffset val="100"/>
        <c:tickMarkSkip val="24"/>
        <c:noMultiLvlLbl val="0"/>
      </c:catAx>
      <c:valAx>
        <c:axId val="21136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Demanda [kWh]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7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533400</xdr:colOff>
      <xdr:row>0</xdr:row>
      <xdr:rowOff>0</xdr:rowOff>
    </xdr:from>
    <xdr:to>
      <xdr:col>46</xdr:col>
      <xdr:colOff>134620</xdr:colOff>
      <xdr:row>25</xdr:row>
      <xdr:rowOff>20320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7CDA4A-DCD4-DA5A-3C83-3EA7651F2C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46</xdr:col>
      <xdr:colOff>132080</xdr:colOff>
      <xdr:row>0</xdr:row>
      <xdr:rowOff>0</xdr:rowOff>
    </xdr:from>
    <xdr:to>
      <xdr:col>55</xdr:col>
      <xdr:colOff>581660</xdr:colOff>
      <xdr:row>25</xdr:row>
      <xdr:rowOff>10160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BCA245-1184-E51B-026D-1EBB64BA85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9C1AF5-8320-A445-B423-7EB8E698D131}" name="Config" displayName="Config" ref="B1:F53" totalsRowShown="0">
  <autoFilter ref="B1:F53" xr:uid="{1D9C1AF5-8320-A445-B423-7EB8E698D131}"/>
  <tableColumns count="5">
    <tableColumn id="5" xr3:uid="{C83B2BF2-90D8-BE46-A9EC-35B7F7C4DEEA}" name="Grupo" dataDxfId="29"/>
    <tableColumn id="4" xr3:uid="{0154BA32-DE9C-AE4C-A691-F8BE9DC14ECF}" name="Descripción"/>
    <tableColumn id="1" xr3:uid="{D70FB460-E5BF-C940-BC97-6010A9B1D6E6}" name="Item"/>
    <tableColumn id="2" xr3:uid="{F0437042-03CD-9242-97A7-7EB189B8AC3E}" name="Valor"/>
    <tableColumn id="3" xr3:uid="{7BE46D34-657B-634C-B709-7834326A81E9}" name="Unida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49EAAF-7D60-3C4D-AE8B-BD059EEF8AFC}" name="Demand_Profile" displayName="Demand_Profile" ref="A3:F171" totalsRowShown="0">
  <autoFilter ref="A3:F171" xr:uid="{CA49EAAF-7D60-3C4D-AE8B-BD059EEF8AFC}"/>
  <tableColumns count="6">
    <tableColumn id="6" xr3:uid="{8108F794-DE8E-E34D-8791-C21D5E5DC517}" name="Dia"/>
    <tableColumn id="1" xr3:uid="{4AC02039-1EFA-574B-8AA7-F851D7694CB9}" name="DOW"/>
    <tableColumn id="2" xr3:uid="{9229C037-BD4F-B344-9398-DFA2FB15D521}" name="HOUR"/>
    <tableColumn id="3" xr3:uid="{DA4BAE3C-BFD5-1540-9A6C-7BCF773C171C}" name="RES" dataDxfId="28"/>
    <tableColumn id="4" xr3:uid="{5BE6BA24-211D-1D4B-A886-6FD6A5999BEA}" name="IND" dataDxfId="27"/>
    <tableColumn id="5" xr3:uid="{FEEE3649-F94E-5049-B437-9458053A91EB}" name="TOTAL_kWh" dataDxfId="26">
      <calculatedColumnFormula>Demand_Profile[[#This Row],[IND]]+Demand_Profile[[#This Row],[RES]]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DF7CDA5-6682-834C-8065-7802EB3EF9E3}" name="Month_Demand_Profile" displayName="Month_Demand_Profile" ref="U3:W15" totalsRowShown="0">
  <autoFilter ref="U3:W15" xr:uid="{0DF7CDA5-6682-834C-8065-7802EB3EF9E3}"/>
  <tableColumns count="3">
    <tableColumn id="1" xr3:uid="{2FFF204D-478E-A649-8FF1-9140242F3580}" name="MONTH"/>
    <tableColumn id="2" xr3:uid="{F73F9BA6-E17B-4744-B423-201501241D83}" name="Demand_month" dataDxfId="25"/>
    <tableColumn id="3" xr3:uid="{51C3D1C9-1DD5-F340-8FA6-6379C7C29DDD}" name="HSP_month" dataDxfId="24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3042CE-4853-3C4D-86A5-37399E222861}" name="Demand_Profile_Weights" displayName="Demand_Profile_Weights" ref="M3:S27" totalsRowShown="0">
  <autoFilter ref="M3:S27" xr:uid="{023042CE-4853-3C4D-86A5-37399E222861}"/>
  <tableColumns count="7">
    <tableColumn id="1" xr3:uid="{5FC9A740-BEE9-F14C-AE06-A4782AF9BA48}" name="HOUR"/>
    <tableColumn id="2" xr3:uid="{5C5E082B-FD27-1246-9847-22094DCF09F6}" name="W_RES" dataDxfId="23"/>
    <tableColumn id="3" xr3:uid="{03FA4DD7-2883-144E-843F-E8C42B67E433}" name="W_IND" dataDxfId="22"/>
    <tableColumn id="4" xr3:uid="{337A6DE0-5565-814A-AB41-8BED384D0608}" name="W_RES_BASE" dataDxfId="21">
      <calculatedColumnFormula>Demand_Profile_Weights[[#This Row],[W_RES]]/SUM(Demand_Profile_Weights[W_RES])</calculatedColumnFormula>
    </tableColumn>
    <tableColumn id="5" xr3:uid="{59056819-1F29-224D-8B7B-19A556C44B56}" name="W_IND_BASE" dataDxfId="20">
      <calculatedColumnFormula>Demand_Profile_Weights[[#This Row],[W_IND]]/SUM(Demand_Profile_Weights[W_IND])</calculatedColumnFormula>
    </tableColumn>
    <tableColumn id="7" xr3:uid="{AAC9CC5A-1099-CA41-89F1-D3E4BCB6422F}" name="W_TOTAL" dataDxfId="19">
      <calculatedColumnFormula>IF(Tipo_Perfil="Mixta", Demand_Profile_Weights[[#This Row],[W_RES_BASE]]*(1-alpha_mix)+Demand_Profile_Weights[[#This Row],[W_IND_BASE]]*alpha_mix, IF(Tipo_Perfil="Residencial", Demand_Profile_Weights[[#This Row],[W_RES_BASE]], Demand_Profile_Weights[[#This Row],[W_IND_BASE]]))</calculatedColumnFormula>
    </tableColumn>
    <tableColumn id="6" xr3:uid="{C3C2FB3C-0E70-F84B-93B3-349566B2F0B1}" name="TOTAL_kWh" dataDxfId="18">
      <calculatedColumnFormula>Demand_Profile_Weights[[#This Row],[W_TOTAL]]*E_mes/(365/12)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C3822E-2187-D449-9657-27CF6FE1C284}" name="SUN_HSP_PROFILE" displayName="SUN_HSP_PROFILE" ref="Y3:Z27" totalsRowShown="0">
  <autoFilter ref="Y3:Z27" xr:uid="{52C3822E-2187-D449-9657-27CF6FE1C284}"/>
  <tableColumns count="2">
    <tableColumn id="1" xr3:uid="{E4082614-A981-A743-B2C7-A1BA7D6B1F9B}" name="HOUR"/>
    <tableColumn id="2" xr3:uid="{319228B1-628C-0745-92CC-807643C29A63}" name="SOL" dataDxfId="17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A778326-FA94-3144-9B68-66AE00495361}" name="Demand_Profile_General" displayName="Demand_Profile_General" ref="H3:K27" totalsRowShown="0">
  <autoFilter ref="H3:K27" xr:uid="{CA778326-FA94-3144-9B68-66AE00495361}"/>
  <tableColumns count="4">
    <tableColumn id="1" xr3:uid="{306A2869-E226-6E4A-B7BA-6E3C0F8E9C35}" name="HOUR"/>
    <tableColumn id="2" xr3:uid="{A09D0AE2-309D-0244-8890-8BAB5BD57113}" name="RES" dataDxfId="16">
      <calculatedColumnFormula>AVERAGEIFS(Demand_Profile[RES], Demand_Profile[HOUR],Demand_Profile_General[[#This Row],[HOUR]])</calculatedColumnFormula>
    </tableColumn>
    <tableColumn id="3" xr3:uid="{8B98FE88-0288-FC47-825A-273D28BAE325}" name="IND" dataDxfId="15">
      <calculatedColumnFormula>AVERAGEIFS(Demand_Profile[IND],Demand_Profile[HOUR],Demand_Profile_General[[#This Row],[HOUR]])</calculatedColumnFormula>
    </tableColumn>
    <tableColumn id="4" xr3:uid="{6FAB5837-C048-8640-A1C2-E941A71AE138}" name="TOTAL_kWh" dataDxfId="14">
      <calculatedColumnFormula>Demand_Profile_General[[#This Row],[RES]]+Demand_Profile_General[[#This Row],[IND]]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7CF821F-5A0C-4EA2-9EE7-B47E36BDA02F}" name="Precios_kWp_relativos" displayName="Precios_kWp_relativos" ref="AB3:AD10" totalsRowShown="0" dataDxfId="13">
  <autoFilter ref="AB3:AD10" xr:uid="{57CF821F-5A0C-4EA2-9EE7-B47E36BDA02F}"/>
  <tableColumns count="3">
    <tableColumn id="1" xr3:uid="{9C598C99-21B4-4FD0-B35D-A6AEF45BAD50}" name="MIN" dataDxfId="12"/>
    <tableColumn id="2" xr3:uid="{07FEF086-85DC-4601-9443-688BB9CC27EC}" name="MAX" dataDxfId="11"/>
    <tableColumn id="3" xr3:uid="{65EE9972-CD58-47F6-A74A-A11F80858B75}" name="PRECIO_POR_KWP" dataDxfId="10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938C075-CC09-8D46-AE76-62C9D9E1C52D}" name="Precios_kWp_relativos_Otros" displayName="Precios_kWp_relativos_Otros" ref="AF3:AH10" totalsRowShown="0" dataDxfId="9">
  <autoFilter ref="AF3:AH10" xr:uid="{0938C075-CC09-8D46-AE76-62C9D9E1C52D}"/>
  <tableColumns count="3">
    <tableColumn id="1" xr3:uid="{3C776944-09E1-6F41-B201-CE58334EB253}" name="MIN" dataDxfId="8"/>
    <tableColumn id="2" xr3:uid="{D0082C07-751F-1942-80EB-C9C1CB3E557B}" name="MAX" dataDxfId="7"/>
    <tableColumn id="3" xr3:uid="{A32F9C24-8FB5-D840-9C73-3CEE4ECE5AB1}" name="PRECIO_POR_KWP" dataDxfId="6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4530FB1-38F9-7B46-AA23-DB9CDF300FB7}" name="Inversor_Catalog" displayName="Inversor_Catalog" ref="A1:H14" totalsRowShown="0">
  <autoFilter ref="A1:H14" xr:uid="{E4530FB1-38F9-7B46-AA23-DB9CDF300FB7}"/>
  <tableColumns count="8">
    <tableColumn id="1" xr3:uid="{1448B690-C3D1-AD46-B60D-3D9ED862A7F8}" name="name"/>
    <tableColumn id="2" xr3:uid="{F5C11AB7-F54F-3A41-A192-095F668D2371}" name="AC_kW"/>
    <tableColumn id="3" xr3:uid="{066BE99D-67B3-2844-BDF4-E4051C35DF11}" name="Vmppt_min"/>
    <tableColumn id="4" xr3:uid="{345A3444-4EEA-264E-99AE-A7443D8A3A33}" name="Vmppt_max" dataDxfId="5"/>
    <tableColumn id="5" xr3:uid="{214F7C49-6D06-934F-95F8-44BB5AD0DC69}" name="Vdc_max" dataDxfId="4"/>
    <tableColumn id="6" xr3:uid="{B800841B-9F1E-504B-AFB8-2F67CCEE4DD6}" name="Imax_mppt" dataDxfId="3"/>
    <tableColumn id="7" xr3:uid="{162D4844-C4AA-4F40-8785-28F70F9200B2}" name="n_mppt" dataDxfId="2"/>
    <tableColumn id="8" xr3:uid="{F6B866E0-1E2F-3542-8F34-EC90FBABC9ED}" name="price_COP" dataDxfId="1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CC21631-5993-6A4C-900E-D8A644FC19C0}" name="Battery_Catalog" displayName="Battery_Catalog" ref="J1:O17" totalsRowShown="0">
  <autoFilter ref="J1:O17" xr:uid="{ECC21631-5993-6A4C-900E-D8A644FC19C0}"/>
  <tableColumns count="6">
    <tableColumn id="1" xr3:uid="{32C5BA4B-1FB2-FA4B-AD83-75E58D7A0C83}" name="name"/>
    <tableColumn id="2" xr3:uid="{D69D6D0C-ACAE-0444-BEA1-60A812C7B68E}" name="nom_kWh"/>
    <tableColumn id="3" xr3:uid="{0D01FFBD-B34A-9B44-8746-2C6A45E4C32C}" name="max_kW"/>
    <tableColumn id="8" xr3:uid="{A5190633-4B2B-E34A-8A17-27D8FE7DA64C}" name="max_ch_kW"/>
    <tableColumn id="7" xr3:uid="{0872E413-ACD7-1E49-877B-C564C682C336}" name="max_dis_kW"/>
    <tableColumn id="4" xr3:uid="{0A6F210E-8F4F-C545-B4B5-500569C6E2CF}" name="price_COP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10" Type="http://schemas.openxmlformats.org/officeDocument/2006/relationships/comments" Target="../comments2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3.v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53"/>
  <sheetViews>
    <sheetView zoomScale="133" zoomScaleNormal="120" workbookViewId="0">
      <selection activeCell="C22" sqref="C22"/>
    </sheetView>
  </sheetViews>
  <sheetFormatPr baseColWidth="10" defaultColWidth="8.83203125" defaultRowHeight="15" x14ac:dyDescent="0.2"/>
  <cols>
    <col min="2" max="2" width="28.33203125" bestFit="1" customWidth="1"/>
    <col min="3" max="3" width="76.5" bestFit="1" customWidth="1"/>
    <col min="4" max="4" width="24.1640625" bestFit="1" customWidth="1"/>
    <col min="5" max="5" width="20.83203125" bestFit="1" customWidth="1"/>
    <col min="6" max="6" width="10.1640625" bestFit="1" customWidth="1"/>
    <col min="7" max="7" width="20.5" bestFit="1" customWidth="1"/>
  </cols>
  <sheetData>
    <row r="1" spans="2:6" ht="16" thickBot="1" x14ac:dyDescent="0.25">
      <c r="B1" t="s">
        <v>107</v>
      </c>
      <c r="C1" t="s">
        <v>63</v>
      </c>
      <c r="D1" t="s">
        <v>52</v>
      </c>
      <c r="E1" t="s">
        <v>53</v>
      </c>
      <c r="F1" t="s">
        <v>54</v>
      </c>
    </row>
    <row r="2" spans="2:6" x14ac:dyDescent="0.2">
      <c r="B2" s="3" t="s">
        <v>108</v>
      </c>
      <c r="C2" s="3" t="s">
        <v>136</v>
      </c>
      <c r="D2" s="4" t="s">
        <v>0</v>
      </c>
      <c r="E2" s="20">
        <v>2000</v>
      </c>
      <c r="F2" s="6" t="s">
        <v>64</v>
      </c>
    </row>
    <row r="3" spans="2:6" hidden="1" x14ac:dyDescent="0.2">
      <c r="B3" s="7"/>
      <c r="C3" s="7" t="s">
        <v>65</v>
      </c>
      <c r="D3" t="s">
        <v>1</v>
      </c>
      <c r="E3" s="18" t="str">
        <f>Perfiles!$N$1</f>
        <v>Mixta</v>
      </c>
      <c r="F3" s="9"/>
    </row>
    <row r="4" spans="2:6" x14ac:dyDescent="0.2">
      <c r="B4" s="7"/>
      <c r="C4" s="7" t="s">
        <v>55</v>
      </c>
      <c r="D4" t="s">
        <v>2</v>
      </c>
      <c r="E4" s="8">
        <v>0.8</v>
      </c>
      <c r="F4" s="9"/>
    </row>
    <row r="5" spans="2:6" ht="16" thickBot="1" x14ac:dyDescent="0.25">
      <c r="B5" s="7"/>
      <c r="C5" s="7" t="s">
        <v>137</v>
      </c>
      <c r="D5" t="s">
        <v>3</v>
      </c>
      <c r="E5" s="18" t="s">
        <v>129</v>
      </c>
      <c r="F5" s="9"/>
    </row>
    <row r="6" spans="2:6" x14ac:dyDescent="0.2">
      <c r="B6" s="3" t="s">
        <v>109</v>
      </c>
      <c r="C6" s="7" t="s">
        <v>56</v>
      </c>
      <c r="D6" t="s">
        <v>4</v>
      </c>
      <c r="E6" s="8">
        <v>0.8</v>
      </c>
      <c r="F6" s="9"/>
    </row>
    <row r="7" spans="2:6" x14ac:dyDescent="0.2">
      <c r="B7" s="7"/>
      <c r="C7" s="7" t="s">
        <v>141</v>
      </c>
      <c r="D7" t="s">
        <v>5</v>
      </c>
      <c r="E7">
        <v>22</v>
      </c>
      <c r="F7" s="9" t="s">
        <v>61</v>
      </c>
    </row>
    <row r="8" spans="2:6" x14ac:dyDescent="0.2">
      <c r="B8" s="7"/>
      <c r="C8" s="7" t="s">
        <v>66</v>
      </c>
      <c r="D8" t="s">
        <v>6</v>
      </c>
      <c r="E8">
        <v>600</v>
      </c>
      <c r="F8" s="9" t="s">
        <v>57</v>
      </c>
    </row>
    <row r="9" spans="2:6" x14ac:dyDescent="0.2">
      <c r="B9" s="7"/>
      <c r="C9" s="7" t="s">
        <v>142</v>
      </c>
      <c r="D9" t="s">
        <v>7</v>
      </c>
      <c r="E9">
        <v>50</v>
      </c>
      <c r="F9" s="9" t="s">
        <v>58</v>
      </c>
    </row>
    <row r="10" spans="2:6" x14ac:dyDescent="0.2">
      <c r="B10" s="7"/>
      <c r="C10" s="7" t="s">
        <v>143</v>
      </c>
      <c r="D10" t="s">
        <v>8</v>
      </c>
      <c r="E10">
        <v>41</v>
      </c>
      <c r="F10" s="9" t="s">
        <v>58</v>
      </c>
    </row>
    <row r="11" spans="2:6" x14ac:dyDescent="0.2">
      <c r="B11" s="7"/>
      <c r="C11" s="7" t="s">
        <v>144</v>
      </c>
      <c r="D11" t="s">
        <v>9</v>
      </c>
      <c r="E11">
        <v>14</v>
      </c>
      <c r="F11" s="9" t="s">
        <v>59</v>
      </c>
    </row>
    <row r="12" spans="2:6" ht="16" thickBot="1" x14ac:dyDescent="0.25">
      <c r="B12" s="10"/>
      <c r="C12" s="10" t="s">
        <v>145</v>
      </c>
      <c r="D12" s="11" t="s">
        <v>10</v>
      </c>
      <c r="E12" s="12">
        <v>-0.28999999999999998</v>
      </c>
      <c r="F12" s="13" t="s">
        <v>60</v>
      </c>
    </row>
    <row r="13" spans="2:6" x14ac:dyDescent="0.2">
      <c r="B13" s="3" t="s">
        <v>110</v>
      </c>
      <c r="C13" s="3" t="s">
        <v>146</v>
      </c>
      <c r="D13" s="4" t="s">
        <v>11</v>
      </c>
      <c r="E13" s="4">
        <v>1.1000000000000001</v>
      </c>
      <c r="F13" s="6"/>
    </row>
    <row r="14" spans="2:6" ht="16" thickBot="1" x14ac:dyDescent="0.25">
      <c r="B14" s="10"/>
      <c r="C14" s="10" t="s">
        <v>147</v>
      </c>
      <c r="D14" s="11" t="s">
        <v>12</v>
      </c>
      <c r="E14" s="11">
        <v>1.4</v>
      </c>
      <c r="F14" s="13"/>
    </row>
    <row r="15" spans="2:6" x14ac:dyDescent="0.2">
      <c r="B15" s="3" t="s">
        <v>111</v>
      </c>
      <c r="C15" s="3" t="s">
        <v>148</v>
      </c>
      <c r="D15" s="4" t="s">
        <v>13</v>
      </c>
      <c r="E15" s="4">
        <v>900</v>
      </c>
      <c r="F15" s="6" t="s">
        <v>69</v>
      </c>
    </row>
    <row r="16" spans="2:6" x14ac:dyDescent="0.2">
      <c r="B16" s="7"/>
      <c r="C16" s="7" t="s">
        <v>149</v>
      </c>
      <c r="D16" t="s">
        <v>14</v>
      </c>
      <c r="E16">
        <v>120</v>
      </c>
      <c r="F16" s="9" t="s">
        <v>69</v>
      </c>
    </row>
    <row r="17" spans="2:6" x14ac:dyDescent="0.2">
      <c r="B17" s="7"/>
      <c r="C17" s="7" t="s">
        <v>150</v>
      </c>
      <c r="D17" t="s">
        <v>15</v>
      </c>
      <c r="E17" s="8">
        <v>0.05</v>
      </c>
      <c r="F17" s="9" t="s">
        <v>70</v>
      </c>
    </row>
    <row r="18" spans="2:6" x14ac:dyDescent="0.2">
      <c r="B18" s="7"/>
      <c r="C18" s="7" t="s">
        <v>151</v>
      </c>
      <c r="D18" t="s">
        <v>16</v>
      </c>
      <c r="E18" s="8">
        <v>0.05</v>
      </c>
      <c r="F18" s="9" t="s">
        <v>70</v>
      </c>
    </row>
    <row r="19" spans="2:6" x14ac:dyDescent="0.2">
      <c r="B19" s="7"/>
      <c r="C19" s="7" t="s">
        <v>186</v>
      </c>
      <c r="D19" t="s">
        <v>123</v>
      </c>
      <c r="E19" s="19">
        <v>5.0000000000000001E-3</v>
      </c>
      <c r="F19" s="9" t="s">
        <v>70</v>
      </c>
    </row>
    <row r="20" spans="2:6" x14ac:dyDescent="0.2">
      <c r="B20" s="7"/>
      <c r="C20" s="7" t="s">
        <v>185</v>
      </c>
      <c r="D20" t="s">
        <v>17</v>
      </c>
      <c r="E20" s="8">
        <v>0.05</v>
      </c>
      <c r="F20" s="9" t="s">
        <v>70</v>
      </c>
    </row>
    <row r="21" spans="2:6" ht="16" thickBot="1" x14ac:dyDescent="0.25">
      <c r="B21" s="10"/>
      <c r="C21" s="10" t="s">
        <v>152</v>
      </c>
      <c r="D21" s="11" t="s">
        <v>18</v>
      </c>
      <c r="E21" s="11">
        <v>30</v>
      </c>
      <c r="F21" s="13" t="s">
        <v>71</v>
      </c>
    </row>
    <row r="22" spans="2:6" x14ac:dyDescent="0.2">
      <c r="B22" s="32" t="s">
        <v>112</v>
      </c>
      <c r="C22" s="3" t="s">
        <v>153</v>
      </c>
      <c r="D22" s="4" t="s">
        <v>19</v>
      </c>
      <c r="E22" s="17" t="s">
        <v>72</v>
      </c>
      <c r="F22" s="6"/>
    </row>
    <row r="23" spans="2:6" x14ac:dyDescent="0.2">
      <c r="B23" s="33"/>
      <c r="C23" s="7" t="s">
        <v>155</v>
      </c>
      <c r="D23" t="s">
        <v>21</v>
      </c>
      <c r="E23" s="31">
        <v>58000000</v>
      </c>
      <c r="F23" s="9" t="s">
        <v>184</v>
      </c>
    </row>
    <row r="24" spans="2:6" x14ac:dyDescent="0.2">
      <c r="B24" s="33"/>
      <c r="C24" s="7" t="s">
        <v>179</v>
      </c>
      <c r="D24" t="s">
        <v>22</v>
      </c>
      <c r="E24" s="18" t="s">
        <v>62</v>
      </c>
      <c r="F24" s="9"/>
    </row>
    <row r="25" spans="2:6" x14ac:dyDescent="0.2">
      <c r="B25" s="33"/>
      <c r="C25" s="7" t="s">
        <v>180</v>
      </c>
      <c r="D25" t="s">
        <v>181</v>
      </c>
      <c r="E25" s="18" t="s">
        <v>75</v>
      </c>
      <c r="F25" s="9"/>
    </row>
    <row r="26" spans="2:6" ht="16" thickBot="1" x14ac:dyDescent="0.25">
      <c r="B26" s="7"/>
      <c r="C26" s="7" t="s">
        <v>182</v>
      </c>
      <c r="D26" t="s">
        <v>183</v>
      </c>
      <c r="E26" s="31">
        <v>0</v>
      </c>
      <c r="F26" s="9" t="s">
        <v>184</v>
      </c>
    </row>
    <row r="27" spans="2:6" ht="16" hidden="1" thickBot="1" x14ac:dyDescent="0.25">
      <c r="B27" s="34"/>
      <c r="C27" s="10" t="s">
        <v>154</v>
      </c>
      <c r="D27" s="11" t="s">
        <v>20</v>
      </c>
      <c r="E27" s="35">
        <v>3500000</v>
      </c>
      <c r="F27" s="13" t="s">
        <v>69</v>
      </c>
    </row>
    <row r="28" spans="2:6" x14ac:dyDescent="0.2">
      <c r="B28" s="3" t="s">
        <v>113</v>
      </c>
      <c r="C28" s="3" t="s">
        <v>169</v>
      </c>
      <c r="D28" s="4" t="s">
        <v>25</v>
      </c>
      <c r="E28" s="5">
        <v>7.0000000000000007E-2</v>
      </c>
      <c r="F28" s="6"/>
    </row>
    <row r="29" spans="2:6" x14ac:dyDescent="0.2">
      <c r="B29" s="7"/>
      <c r="C29" s="7" t="s">
        <v>170</v>
      </c>
      <c r="D29" t="s">
        <v>26</v>
      </c>
      <c r="E29" s="8">
        <v>0.06</v>
      </c>
      <c r="F29" s="9"/>
    </row>
    <row r="30" spans="2:6" x14ac:dyDescent="0.2">
      <c r="B30" s="7"/>
      <c r="C30" s="7" t="s">
        <v>171</v>
      </c>
      <c r="D30" t="s">
        <v>27</v>
      </c>
      <c r="E30" s="8">
        <v>0.1</v>
      </c>
      <c r="F30" s="9"/>
    </row>
    <row r="31" spans="2:6" x14ac:dyDescent="0.2">
      <c r="B31" s="7"/>
      <c r="C31" s="7" t="s">
        <v>73</v>
      </c>
      <c r="D31" t="s">
        <v>28</v>
      </c>
      <c r="E31" s="8">
        <v>0.04</v>
      </c>
      <c r="F31" s="9"/>
    </row>
    <row r="32" spans="2:6" x14ac:dyDescent="0.2">
      <c r="B32" s="7"/>
      <c r="C32" s="7" t="s">
        <v>117</v>
      </c>
      <c r="D32" t="s">
        <v>104</v>
      </c>
      <c r="E32" s="18" t="s">
        <v>62</v>
      </c>
      <c r="F32" s="9"/>
    </row>
    <row r="33" spans="2:6" x14ac:dyDescent="0.2">
      <c r="B33" s="7"/>
      <c r="C33" s="7" t="s">
        <v>173</v>
      </c>
      <c r="D33" t="s">
        <v>105</v>
      </c>
      <c r="E33">
        <v>15</v>
      </c>
      <c r="F33" s="9" t="s">
        <v>119</v>
      </c>
    </row>
    <row r="34" spans="2:6" x14ac:dyDescent="0.2">
      <c r="B34" s="7"/>
      <c r="C34" s="7" t="s">
        <v>133</v>
      </c>
      <c r="D34" t="s">
        <v>134</v>
      </c>
      <c r="E34">
        <v>200</v>
      </c>
      <c r="F34" s="9" t="s">
        <v>135</v>
      </c>
    </row>
    <row r="35" spans="2:6" ht="16" thickBot="1" x14ac:dyDescent="0.25">
      <c r="B35" s="10"/>
      <c r="C35" s="10" t="s">
        <v>172</v>
      </c>
      <c r="D35" s="11" t="s">
        <v>106</v>
      </c>
      <c r="F35" s="13"/>
    </row>
    <row r="36" spans="2:6" x14ac:dyDescent="0.2">
      <c r="B36" s="3" t="s">
        <v>114</v>
      </c>
      <c r="C36" s="3" t="s">
        <v>163</v>
      </c>
      <c r="D36" s="4" t="s">
        <v>99</v>
      </c>
      <c r="E36" s="17" t="s">
        <v>75</v>
      </c>
      <c r="F36" s="6"/>
    </row>
    <row r="37" spans="2:6" x14ac:dyDescent="0.2">
      <c r="B37" s="7"/>
      <c r="C37" s="7" t="s">
        <v>164</v>
      </c>
      <c r="D37" t="s">
        <v>100</v>
      </c>
      <c r="E37">
        <v>2.5</v>
      </c>
      <c r="F37" s="9"/>
    </row>
    <row r="38" spans="2:6" x14ac:dyDescent="0.2">
      <c r="B38" s="7"/>
      <c r="C38" s="7" t="s">
        <v>165</v>
      </c>
      <c r="D38" t="s">
        <v>101</v>
      </c>
      <c r="E38">
        <v>0</v>
      </c>
      <c r="F38" s="9"/>
    </row>
    <row r="39" spans="2:6" x14ac:dyDescent="0.2">
      <c r="B39" s="7"/>
      <c r="C39" s="7" t="s">
        <v>166</v>
      </c>
      <c r="D39" t="s">
        <v>102</v>
      </c>
      <c r="E39" s="18" t="s">
        <v>118</v>
      </c>
      <c r="F39" s="9"/>
    </row>
    <row r="40" spans="2:6" x14ac:dyDescent="0.2">
      <c r="B40" s="7"/>
      <c r="C40" s="7" t="s">
        <v>168</v>
      </c>
      <c r="D40" t="s">
        <v>131</v>
      </c>
      <c r="E40" s="18" t="s">
        <v>132</v>
      </c>
      <c r="F40" s="9"/>
    </row>
    <row r="41" spans="2:6" ht="16" thickBot="1" x14ac:dyDescent="0.25">
      <c r="B41" s="10"/>
      <c r="C41" s="10" t="s">
        <v>167</v>
      </c>
      <c r="D41" s="11" t="s">
        <v>103</v>
      </c>
      <c r="E41" s="11">
        <v>1</v>
      </c>
      <c r="F41" s="13"/>
    </row>
    <row r="42" spans="2:6" x14ac:dyDescent="0.2">
      <c r="B42" s="3" t="s">
        <v>115</v>
      </c>
      <c r="C42" s="3" t="s">
        <v>158</v>
      </c>
      <c r="D42" s="4" t="s">
        <v>94</v>
      </c>
      <c r="E42" s="40" t="s">
        <v>120</v>
      </c>
      <c r="F42" s="6"/>
    </row>
    <row r="43" spans="2:6" x14ac:dyDescent="0.2">
      <c r="B43" s="7"/>
      <c r="C43" s="7" t="s">
        <v>159</v>
      </c>
      <c r="D43" t="s">
        <v>95</v>
      </c>
      <c r="E43">
        <v>15</v>
      </c>
      <c r="F43" s="9" t="s">
        <v>119</v>
      </c>
    </row>
    <row r="44" spans="2:6" x14ac:dyDescent="0.2">
      <c r="B44" s="7"/>
      <c r="C44" s="7" t="s">
        <v>160</v>
      </c>
      <c r="D44" t="s">
        <v>96</v>
      </c>
      <c r="E44">
        <v>60</v>
      </c>
      <c r="F44" s="9"/>
    </row>
    <row r="45" spans="2:6" x14ac:dyDescent="0.2">
      <c r="B45" s="7"/>
      <c r="C45" s="7" t="s">
        <v>161</v>
      </c>
      <c r="D45" t="s">
        <v>97</v>
      </c>
      <c r="E45">
        <v>4</v>
      </c>
      <c r="F45" s="9" t="s">
        <v>119</v>
      </c>
    </row>
    <row r="46" spans="2:6" ht="16" thickBot="1" x14ac:dyDescent="0.25">
      <c r="B46" s="10"/>
      <c r="C46" s="10" t="s">
        <v>162</v>
      </c>
      <c r="D46" s="11" t="s">
        <v>98</v>
      </c>
      <c r="E46" s="11">
        <v>30</v>
      </c>
      <c r="F46" s="13" t="s">
        <v>119</v>
      </c>
    </row>
    <row r="47" spans="2:6" x14ac:dyDescent="0.2">
      <c r="B47" s="3" t="s">
        <v>116</v>
      </c>
      <c r="C47" s="3" t="s">
        <v>76</v>
      </c>
      <c r="D47" s="4" t="s">
        <v>74</v>
      </c>
      <c r="E47" s="17" t="s">
        <v>75</v>
      </c>
      <c r="F47" s="6"/>
    </row>
    <row r="48" spans="2:6" x14ac:dyDescent="0.2">
      <c r="B48" s="7"/>
      <c r="C48" s="7" t="s">
        <v>67</v>
      </c>
      <c r="D48" t="s">
        <v>23</v>
      </c>
      <c r="E48" s="18" t="s">
        <v>75</v>
      </c>
      <c r="F48" s="9"/>
    </row>
    <row r="49" spans="2:6" x14ac:dyDescent="0.2">
      <c r="B49" s="7"/>
      <c r="C49" s="7" t="s">
        <v>156</v>
      </c>
      <c r="D49" t="s">
        <v>24</v>
      </c>
      <c r="F49" s="9"/>
    </row>
    <row r="50" spans="2:6" x14ac:dyDescent="0.2">
      <c r="B50" s="7"/>
      <c r="C50" s="7" t="s">
        <v>122</v>
      </c>
      <c r="D50" t="s">
        <v>91</v>
      </c>
      <c r="E50" s="18" t="s">
        <v>75</v>
      </c>
      <c r="F50" s="9"/>
    </row>
    <row r="51" spans="2:6" x14ac:dyDescent="0.2">
      <c r="B51" s="7"/>
      <c r="C51" s="7" t="s">
        <v>157</v>
      </c>
      <c r="D51" t="s">
        <v>92</v>
      </c>
      <c r="E51" s="21">
        <v>0.9</v>
      </c>
      <c r="F51" s="9"/>
    </row>
    <row r="52" spans="2:6" x14ac:dyDescent="0.2">
      <c r="B52" s="7"/>
      <c r="C52" s="7" t="s">
        <v>199</v>
      </c>
      <c r="D52" t="s">
        <v>200</v>
      </c>
      <c r="E52" s="42" t="s">
        <v>201</v>
      </c>
      <c r="F52" s="9"/>
    </row>
    <row r="53" spans="2:6" ht="16" thickBot="1" x14ac:dyDescent="0.25">
      <c r="B53" s="10"/>
      <c r="C53" s="10" t="s">
        <v>121</v>
      </c>
      <c r="D53" s="11" t="s">
        <v>93</v>
      </c>
      <c r="E53" s="22">
        <v>0.9</v>
      </c>
      <c r="F53" s="13"/>
    </row>
  </sheetData>
  <dataValidations count="8">
    <dataValidation type="list" allowBlank="1" showInputMessage="1" showErrorMessage="1" sqref="E50 E36 E32 E47:E48 E27 E24:E25" xr:uid="{13B5213E-27FA-A040-8ABE-F2BE06993872}">
      <formula1>"Sí,No"</formula1>
    </dataValidation>
    <dataValidation type="list" allowBlank="1" showInputMessage="1" showErrorMessage="1" sqref="E3" xr:uid="{CDEBC182-C3D4-D644-A735-33C411432B7C}">
      <formula1>"Residencial,Industrial,Mixta"</formula1>
    </dataValidation>
    <dataValidation type="list" allowBlank="1" showInputMessage="1" showErrorMessage="1" sqref="E22" xr:uid="{66CF94B9-6BF3-B44F-B57D-BC78FBB14F56}">
      <formula1>"Variable, Fijo Total"</formula1>
    </dataValidation>
    <dataValidation type="list" allowBlank="1" showInputMessage="1" showErrorMessage="1" sqref="E39" xr:uid="{D8F0B011-0BD6-5B40-B056-E405EB00BAB7}">
      <formula1>"maximo,fijo"</formula1>
    </dataValidation>
    <dataValidation type="list" allowBlank="1" showInputMessage="1" showErrorMessage="1" sqref="E42" xr:uid="{60B41B52-9DA4-2241-82B7-899AF1DE733E}">
      <formula1>"Auto,Manual"</formula1>
    </dataValidation>
    <dataValidation type="list" allowBlank="1" showInputMessage="1" showErrorMessage="1" sqref="E5" xr:uid="{96DC3BA2-B69E-4C49-967B-58B1FEEAE9F5}">
      <formula1>"Perfil Hora Dia de Semana,Perfil Horario Total,Perfil Horario Relativo"</formula1>
    </dataValidation>
    <dataValidation type="list" allowBlank="1" showInputMessage="1" showErrorMessage="1" sqref="E40" xr:uid="{289EDB10-831A-0845-8FA4-D9BDD31BA923}">
      <formula1>"weighted_mean,max,weekday,p95"</formula1>
    </dataValidation>
    <dataValidation type="list" allowBlank="1" showInputMessage="1" showErrorMessage="1" sqref="E52" xr:uid="{1CDCE944-8F98-B541-8B98-14969E531FE2}">
      <formula1>"AC,DC"</formula1>
    </dataValidation>
  </dataValidations>
  <pageMargins left="0.75" right="0.75" top="1" bottom="1" header="0.5" footer="0.5"/>
  <pageSetup paperSize="9" orientation="portrait" horizontalDpi="0" verticalDpi="0"/>
  <ignoredErrors>
    <ignoredError sqref="D3 E27" listDataValidation="1"/>
  </ignoredErrors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CE183FF-3626-EF43-8CC7-CCD9DF848106}">
          <x14:formula1>
            <xm:f>Catalogos!$J$2:$J$5</xm:f>
          </x14:formula1>
          <xm:sqref>E49 E35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71"/>
  <sheetViews>
    <sheetView topLeftCell="X1" zoomScale="119" zoomScaleNormal="110" workbookViewId="0">
      <selection activeCell="AF11" sqref="AF11"/>
    </sheetView>
  </sheetViews>
  <sheetFormatPr baseColWidth="10" defaultColWidth="8.83203125" defaultRowHeight="15" x14ac:dyDescent="0.2"/>
  <cols>
    <col min="1" max="1" width="8.5" bestFit="1" customWidth="1"/>
    <col min="2" max="2" width="7.6640625" bestFit="1" customWidth="1"/>
    <col min="3" max="3" width="8.1640625" bestFit="1" customWidth="1"/>
    <col min="4" max="4" width="6.33203125" bestFit="1" customWidth="1"/>
    <col min="5" max="5" width="6.5" bestFit="1" customWidth="1"/>
    <col min="6" max="6" width="12.83203125" bestFit="1" customWidth="1"/>
    <col min="7" max="7" width="3" customWidth="1"/>
    <col min="8" max="8" width="8.1640625" bestFit="1" customWidth="1"/>
    <col min="9" max="9" width="6.33203125" bestFit="1" customWidth="1"/>
    <col min="10" max="10" width="6.5" bestFit="1" customWidth="1"/>
    <col min="11" max="11" width="12.83203125" bestFit="1" customWidth="1"/>
    <col min="12" max="12" width="3" customWidth="1"/>
    <col min="13" max="13" width="12.83203125" bestFit="1" customWidth="1"/>
    <col min="15" max="15" width="9" bestFit="1" customWidth="1"/>
    <col min="16" max="16" width="13.5" bestFit="1" customWidth="1"/>
    <col min="17" max="17" width="13.6640625" bestFit="1" customWidth="1"/>
    <col min="18" max="18" width="11" bestFit="1" customWidth="1"/>
    <col min="19" max="19" width="12.83203125" bestFit="1" customWidth="1"/>
    <col min="21" max="21" width="9.6640625" bestFit="1" customWidth="1"/>
    <col min="22" max="22" width="16.1640625" bestFit="1" customWidth="1"/>
    <col min="23" max="23" width="12.6640625" bestFit="1" customWidth="1"/>
    <col min="25" max="25" width="8.33203125" bestFit="1" customWidth="1"/>
    <col min="26" max="26" width="6.6640625" bestFit="1" customWidth="1"/>
    <col min="28" max="28" width="7.33203125" bestFit="1" customWidth="1"/>
    <col min="29" max="29" width="7.6640625" bestFit="1" customWidth="1"/>
    <col min="30" max="30" width="20.1640625" bestFit="1" customWidth="1"/>
    <col min="32" max="33" width="9" bestFit="1" customWidth="1"/>
    <col min="34" max="34" width="11" bestFit="1" customWidth="1"/>
  </cols>
  <sheetData>
    <row r="1" spans="1:34" x14ac:dyDescent="0.2">
      <c r="M1" s="24" t="s">
        <v>138</v>
      </c>
      <c r="N1" s="25" t="s">
        <v>68</v>
      </c>
      <c r="O1" s="24" t="s">
        <v>2</v>
      </c>
      <c r="P1" s="24">
        <f>+alpha_mix</f>
        <v>0.8</v>
      </c>
    </row>
    <row r="2" spans="1:34" x14ac:dyDescent="0.2">
      <c r="A2" s="41" t="s">
        <v>124</v>
      </c>
      <c r="B2" s="41"/>
      <c r="C2" s="41"/>
      <c r="D2" s="41"/>
      <c r="E2" s="41"/>
      <c r="F2" s="41"/>
      <c r="H2" s="41" t="s">
        <v>125</v>
      </c>
      <c r="I2" s="41"/>
      <c r="J2" s="41"/>
      <c r="K2" s="41"/>
      <c r="M2" s="41" t="s">
        <v>126</v>
      </c>
      <c r="N2" s="41"/>
      <c r="O2" s="41"/>
      <c r="P2" s="41"/>
      <c r="Q2" s="41"/>
      <c r="R2" s="41"/>
      <c r="S2" s="41"/>
      <c r="U2" s="41" t="s">
        <v>127</v>
      </c>
      <c r="V2" s="41"/>
      <c r="W2" s="41"/>
      <c r="Y2" s="41" t="s">
        <v>128</v>
      </c>
      <c r="Z2" s="41"/>
      <c r="AB2" t="s">
        <v>177</v>
      </c>
      <c r="AF2" t="s">
        <v>178</v>
      </c>
    </row>
    <row r="3" spans="1:34" x14ac:dyDescent="0.2">
      <c r="A3" t="s">
        <v>82</v>
      </c>
      <c r="B3" t="s">
        <v>29</v>
      </c>
      <c r="C3" t="s">
        <v>30</v>
      </c>
      <c r="D3" t="s">
        <v>31</v>
      </c>
      <c r="E3" t="s">
        <v>32</v>
      </c>
      <c r="F3" t="s">
        <v>130</v>
      </c>
      <c r="H3" t="s">
        <v>30</v>
      </c>
      <c r="I3" t="s">
        <v>31</v>
      </c>
      <c r="J3" t="s">
        <v>32</v>
      </c>
      <c r="K3" t="s">
        <v>130</v>
      </c>
      <c r="M3" t="s">
        <v>30</v>
      </c>
      <c r="N3" t="s">
        <v>77</v>
      </c>
      <c r="O3" t="s">
        <v>78</v>
      </c>
      <c r="P3" t="s">
        <v>79</v>
      </c>
      <c r="Q3" t="s">
        <v>80</v>
      </c>
      <c r="R3" t="s">
        <v>81</v>
      </c>
      <c r="S3" t="s">
        <v>130</v>
      </c>
      <c r="U3" t="s">
        <v>33</v>
      </c>
      <c r="V3" t="s">
        <v>140</v>
      </c>
      <c r="W3" t="s">
        <v>139</v>
      </c>
      <c r="Y3" t="s">
        <v>30</v>
      </c>
      <c r="Z3" t="s">
        <v>90</v>
      </c>
      <c r="AB3" t="s">
        <v>174</v>
      </c>
      <c r="AC3" t="s">
        <v>175</v>
      </c>
      <c r="AD3" t="s">
        <v>176</v>
      </c>
      <c r="AF3" t="s">
        <v>174</v>
      </c>
      <c r="AG3" t="s">
        <v>175</v>
      </c>
      <c r="AH3" t="s">
        <v>176</v>
      </c>
    </row>
    <row r="4" spans="1:34" x14ac:dyDescent="0.2">
      <c r="A4" t="s">
        <v>83</v>
      </c>
      <c r="B4">
        <v>1</v>
      </c>
      <c r="C4">
        <v>0</v>
      </c>
      <c r="D4" s="26">
        <v>0.8</v>
      </c>
      <c r="E4" s="26">
        <v>0.1</v>
      </c>
      <c r="F4" s="23">
        <f>Demand_Profile[[#This Row],[IND]]+Demand_Profile[[#This Row],[RES]]</f>
        <v>0.9</v>
      </c>
      <c r="H4">
        <v>0</v>
      </c>
      <c r="I4" s="26">
        <f>AVERAGEIFS(Demand_Profile[RES], Demand_Profile[HOUR],Demand_Profile_General[[#This Row],[HOUR]])</f>
        <v>0.79999999999999993</v>
      </c>
      <c r="J4" s="26">
        <f>AVERAGEIFS(Demand_Profile[IND],Demand_Profile[HOUR],Demand_Profile_General[[#This Row],[HOUR]])</f>
        <v>9.9999999999999992E-2</v>
      </c>
      <c r="K4" s="23">
        <f>Demand_Profile_General[[#This Row],[RES]]+Demand_Profile_General[[#This Row],[IND]]</f>
        <v>0.89999999999999991</v>
      </c>
      <c r="M4">
        <v>0</v>
      </c>
      <c r="N4" s="27">
        <v>0.5</v>
      </c>
      <c r="O4" s="27">
        <v>0.1</v>
      </c>
      <c r="P4" s="15">
        <f>Demand_Profile_Weights[[#This Row],[W_RES]]/SUM(Demand_Profile_Weights[W_RES])</f>
        <v>2.3696682464454982E-2</v>
      </c>
      <c r="Q4" s="16">
        <f>Demand_Profile_Weights[[#This Row],[W_IND]]/SUM(Demand_Profile_Weights[W_IND])</f>
        <v>8.9285714285714333E-3</v>
      </c>
      <c r="R4" s="16">
        <f>IF(Tipo_Perfil="Mixta", Demand_Profile_Weights[[#This Row],[W_RES_BASE]]*(1-alpha_mix)+Demand_Profile_Weights[[#This Row],[W_IND_BASE]]*alpha_mix, IF(Tipo_Perfil="Residencial", Demand_Profile_Weights[[#This Row],[W_RES_BASE]], Demand_Profile_Weights[[#This Row],[W_IND_BASE]]))</f>
        <v>1.1882193635748143E-2</v>
      </c>
      <c r="S4" s="14">
        <f>Demand_Profile_Weights[[#This Row],[W_TOTAL]]*E_mes/(365/12)</f>
        <v>0.78129492399439837</v>
      </c>
      <c r="U4">
        <v>1</v>
      </c>
      <c r="V4" s="27">
        <v>1</v>
      </c>
      <c r="W4" s="28">
        <v>5.5</v>
      </c>
      <c r="Y4">
        <v>0</v>
      </c>
      <c r="Z4" s="29">
        <v>0</v>
      </c>
      <c r="AB4" s="28">
        <v>1</v>
      </c>
      <c r="AC4" s="28">
        <v>5</v>
      </c>
      <c r="AD4" s="30">
        <v>5500000</v>
      </c>
      <c r="AF4" s="28">
        <v>1</v>
      </c>
      <c r="AG4" s="28">
        <v>5</v>
      </c>
      <c r="AH4" s="30">
        <v>1000000</v>
      </c>
    </row>
    <row r="5" spans="1:34" x14ac:dyDescent="0.2">
      <c r="A5" t="s">
        <v>83</v>
      </c>
      <c r="B5">
        <v>1</v>
      </c>
      <c r="C5">
        <v>1</v>
      </c>
      <c r="D5" s="26">
        <v>0.8</v>
      </c>
      <c r="E5" s="26">
        <v>0.1</v>
      </c>
      <c r="F5" s="23">
        <f>Demand_Profile[[#This Row],[IND]]+Demand_Profile[[#This Row],[RES]]</f>
        <v>0.9</v>
      </c>
      <c r="H5">
        <v>1</v>
      </c>
      <c r="I5" s="26">
        <f>AVERAGEIFS(Demand_Profile[RES], Demand_Profile[HOUR],Demand_Profile_General[[#This Row],[HOUR]])</f>
        <v>0.79999999999999993</v>
      </c>
      <c r="J5" s="26">
        <f>AVERAGEIFS(Demand_Profile[IND],Demand_Profile[HOUR],Demand_Profile_General[[#This Row],[HOUR]])</f>
        <v>9.9999999999999992E-2</v>
      </c>
      <c r="K5" s="23">
        <f>Demand_Profile_General[[#This Row],[RES]]+Demand_Profile_General[[#This Row],[IND]]</f>
        <v>0.89999999999999991</v>
      </c>
      <c r="M5">
        <v>1</v>
      </c>
      <c r="N5" s="27">
        <v>0.5</v>
      </c>
      <c r="O5" s="27">
        <v>0.1</v>
      </c>
      <c r="P5" s="15">
        <f>Demand_Profile_Weights[[#This Row],[W_RES]]/SUM(Demand_Profile_Weights[W_RES])</f>
        <v>2.3696682464454982E-2</v>
      </c>
      <c r="Q5" s="16">
        <f>Demand_Profile_Weights[[#This Row],[W_IND]]/SUM(Demand_Profile_Weights[W_IND])</f>
        <v>8.9285714285714333E-3</v>
      </c>
      <c r="R5" s="16">
        <f>IF(Tipo_Perfil="Mixta", Demand_Profile_Weights[[#This Row],[W_RES_BASE]]*(1-alpha_mix)+Demand_Profile_Weights[[#This Row],[W_IND_BASE]]*alpha_mix, IF(Tipo_Perfil="Residencial", Demand_Profile_Weights[[#This Row],[W_RES_BASE]], Demand_Profile_Weights[[#This Row],[W_IND_BASE]]))</f>
        <v>1.1882193635748143E-2</v>
      </c>
      <c r="S5" s="14">
        <f>Demand_Profile_Weights[[#This Row],[W_TOTAL]]*E_mes/(365/12)</f>
        <v>0.78129492399439837</v>
      </c>
      <c r="U5">
        <v>2</v>
      </c>
      <c r="V5" s="27">
        <v>1.02</v>
      </c>
      <c r="W5" s="28">
        <v>5.5</v>
      </c>
      <c r="Y5">
        <v>1</v>
      </c>
      <c r="Z5" s="29">
        <v>0</v>
      </c>
      <c r="AB5" s="28">
        <v>5</v>
      </c>
      <c r="AC5" s="28">
        <v>8</v>
      </c>
      <c r="AD5" s="30">
        <v>5000000</v>
      </c>
      <c r="AF5" s="28">
        <v>5</v>
      </c>
      <c r="AG5" s="28">
        <v>8</v>
      </c>
      <c r="AH5" s="30">
        <v>900000</v>
      </c>
    </row>
    <row r="6" spans="1:34" x14ac:dyDescent="0.2">
      <c r="A6" t="s">
        <v>83</v>
      </c>
      <c r="B6">
        <v>1</v>
      </c>
      <c r="C6">
        <v>2</v>
      </c>
      <c r="D6" s="26">
        <v>0.8</v>
      </c>
      <c r="E6" s="26">
        <v>0.1</v>
      </c>
      <c r="F6" s="23">
        <f>Demand_Profile[[#This Row],[IND]]+Demand_Profile[[#This Row],[RES]]</f>
        <v>0.9</v>
      </c>
      <c r="H6">
        <v>2</v>
      </c>
      <c r="I6" s="26">
        <f>AVERAGEIFS(Demand_Profile[RES], Demand_Profile[HOUR],Demand_Profile_General[[#This Row],[HOUR]])</f>
        <v>0.79999999999999993</v>
      </c>
      <c r="J6" s="26">
        <f>AVERAGEIFS(Demand_Profile[IND],Demand_Profile[HOUR],Demand_Profile_General[[#This Row],[HOUR]])</f>
        <v>9.9999999999999992E-2</v>
      </c>
      <c r="K6" s="23">
        <f>Demand_Profile_General[[#This Row],[RES]]+Demand_Profile_General[[#This Row],[IND]]</f>
        <v>0.89999999999999991</v>
      </c>
      <c r="M6">
        <v>2</v>
      </c>
      <c r="N6" s="27">
        <v>0.5</v>
      </c>
      <c r="O6" s="27">
        <v>0.1</v>
      </c>
      <c r="P6" s="15">
        <f>Demand_Profile_Weights[[#This Row],[W_RES]]/SUM(Demand_Profile_Weights[W_RES])</f>
        <v>2.3696682464454982E-2</v>
      </c>
      <c r="Q6" s="16">
        <f>Demand_Profile_Weights[[#This Row],[W_IND]]/SUM(Demand_Profile_Weights[W_IND])</f>
        <v>8.9285714285714333E-3</v>
      </c>
      <c r="R6" s="16">
        <f>IF(Tipo_Perfil="Mixta", Demand_Profile_Weights[[#This Row],[W_RES_BASE]]*(1-alpha_mix)+Demand_Profile_Weights[[#This Row],[W_IND_BASE]]*alpha_mix, IF(Tipo_Perfil="Residencial", Demand_Profile_Weights[[#This Row],[W_RES_BASE]], Demand_Profile_Weights[[#This Row],[W_IND_BASE]]))</f>
        <v>1.1882193635748143E-2</v>
      </c>
      <c r="S6" s="14">
        <f>Demand_Profile_Weights[[#This Row],[W_TOTAL]]*E_mes/(365/12)</f>
        <v>0.78129492399439837</v>
      </c>
      <c r="U6">
        <v>3</v>
      </c>
      <c r="V6" s="27">
        <v>1.05</v>
      </c>
      <c r="W6" s="28">
        <v>5.5</v>
      </c>
      <c r="Y6">
        <v>2</v>
      </c>
      <c r="Z6" s="29">
        <v>0</v>
      </c>
      <c r="AB6" s="28">
        <v>8</v>
      </c>
      <c r="AC6" s="28">
        <v>10</v>
      </c>
      <c r="AD6" s="30">
        <v>4500000</v>
      </c>
      <c r="AF6" s="28">
        <v>8</v>
      </c>
      <c r="AG6" s="28">
        <v>10</v>
      </c>
      <c r="AH6" s="30">
        <v>800000</v>
      </c>
    </row>
    <row r="7" spans="1:34" x14ac:dyDescent="0.2">
      <c r="A7" t="s">
        <v>83</v>
      </c>
      <c r="B7">
        <v>1</v>
      </c>
      <c r="C7">
        <v>3</v>
      </c>
      <c r="D7" s="26">
        <v>0.8</v>
      </c>
      <c r="E7" s="26">
        <v>0.1</v>
      </c>
      <c r="F7" s="23">
        <f>Demand_Profile[[#This Row],[IND]]+Demand_Profile[[#This Row],[RES]]</f>
        <v>0.9</v>
      </c>
      <c r="H7">
        <v>3</v>
      </c>
      <c r="I7" s="26">
        <f>AVERAGEIFS(Demand_Profile[RES], Demand_Profile[HOUR],Demand_Profile_General[[#This Row],[HOUR]])</f>
        <v>0.79999999999999993</v>
      </c>
      <c r="J7" s="26">
        <f>AVERAGEIFS(Demand_Profile[IND],Demand_Profile[HOUR],Demand_Profile_General[[#This Row],[HOUR]])</f>
        <v>9.9999999999999992E-2</v>
      </c>
      <c r="K7" s="23">
        <f>Demand_Profile_General[[#This Row],[RES]]+Demand_Profile_General[[#This Row],[IND]]</f>
        <v>0.89999999999999991</v>
      </c>
      <c r="M7">
        <v>3</v>
      </c>
      <c r="N7" s="27">
        <v>0.5</v>
      </c>
      <c r="O7" s="27">
        <v>0.1</v>
      </c>
      <c r="P7" s="15">
        <f>Demand_Profile_Weights[[#This Row],[W_RES]]/SUM(Demand_Profile_Weights[W_RES])</f>
        <v>2.3696682464454982E-2</v>
      </c>
      <c r="Q7" s="16">
        <f>Demand_Profile_Weights[[#This Row],[W_IND]]/SUM(Demand_Profile_Weights[W_IND])</f>
        <v>8.9285714285714333E-3</v>
      </c>
      <c r="R7" s="16">
        <f>IF(Tipo_Perfil="Mixta", Demand_Profile_Weights[[#This Row],[W_RES_BASE]]*(1-alpha_mix)+Demand_Profile_Weights[[#This Row],[W_IND_BASE]]*alpha_mix, IF(Tipo_Perfil="Residencial", Demand_Profile_Weights[[#This Row],[W_RES_BASE]], Demand_Profile_Weights[[#This Row],[W_IND_BASE]]))</f>
        <v>1.1882193635748143E-2</v>
      </c>
      <c r="S7" s="14">
        <f>Demand_Profile_Weights[[#This Row],[W_TOTAL]]*E_mes/(365/12)</f>
        <v>0.78129492399439837</v>
      </c>
      <c r="U7">
        <v>4</v>
      </c>
      <c r="V7" s="27">
        <v>1.08</v>
      </c>
      <c r="W7" s="28">
        <v>5.5</v>
      </c>
      <c r="Y7">
        <v>3</v>
      </c>
      <c r="Z7" s="29">
        <v>0</v>
      </c>
      <c r="AB7" s="28">
        <v>10</v>
      </c>
      <c r="AC7" s="28">
        <v>13</v>
      </c>
      <c r="AD7" s="30">
        <v>4500000</v>
      </c>
      <c r="AF7" s="28">
        <v>10</v>
      </c>
      <c r="AG7" s="28">
        <v>13</v>
      </c>
      <c r="AH7" s="30">
        <v>700000</v>
      </c>
    </row>
    <row r="8" spans="1:34" x14ac:dyDescent="0.2">
      <c r="A8" t="s">
        <v>83</v>
      </c>
      <c r="B8">
        <v>1</v>
      </c>
      <c r="C8">
        <v>4</v>
      </c>
      <c r="D8" s="26">
        <v>0.8</v>
      </c>
      <c r="E8" s="26">
        <v>0.1</v>
      </c>
      <c r="F8" s="23">
        <f>Demand_Profile[[#This Row],[IND]]+Demand_Profile[[#This Row],[RES]]</f>
        <v>0.9</v>
      </c>
      <c r="H8">
        <v>4</v>
      </c>
      <c r="I8" s="26">
        <f>AVERAGEIFS(Demand_Profile[RES], Demand_Profile[HOUR],Demand_Profile_General[[#This Row],[HOUR]])</f>
        <v>0.79999999999999993</v>
      </c>
      <c r="J8" s="26">
        <f>AVERAGEIFS(Demand_Profile[IND],Demand_Profile[HOUR],Demand_Profile_General[[#This Row],[HOUR]])</f>
        <v>9.9999999999999992E-2</v>
      </c>
      <c r="K8" s="23">
        <f>Demand_Profile_General[[#This Row],[RES]]+Demand_Profile_General[[#This Row],[IND]]</f>
        <v>0.89999999999999991</v>
      </c>
      <c r="M8">
        <v>4</v>
      </c>
      <c r="N8" s="27">
        <v>0.5</v>
      </c>
      <c r="O8" s="27">
        <v>0.1</v>
      </c>
      <c r="P8" s="15">
        <f>Demand_Profile_Weights[[#This Row],[W_RES]]/SUM(Demand_Profile_Weights[W_RES])</f>
        <v>2.3696682464454982E-2</v>
      </c>
      <c r="Q8" s="16">
        <f>Demand_Profile_Weights[[#This Row],[W_IND]]/SUM(Demand_Profile_Weights[W_IND])</f>
        <v>8.9285714285714333E-3</v>
      </c>
      <c r="R8" s="16">
        <f>IF(Tipo_Perfil="Mixta", Demand_Profile_Weights[[#This Row],[W_RES_BASE]]*(1-alpha_mix)+Demand_Profile_Weights[[#This Row],[W_IND_BASE]]*alpha_mix, IF(Tipo_Perfil="Residencial", Demand_Profile_Weights[[#This Row],[W_RES_BASE]], Demand_Profile_Weights[[#This Row],[W_IND_BASE]]))</f>
        <v>1.1882193635748143E-2</v>
      </c>
      <c r="S8" s="14">
        <f>Demand_Profile_Weights[[#This Row],[W_TOTAL]]*E_mes/(365/12)</f>
        <v>0.78129492399439837</v>
      </c>
      <c r="U8">
        <v>5</v>
      </c>
      <c r="V8" s="27">
        <v>1.1000000000000001</v>
      </c>
      <c r="W8" s="28">
        <v>5.5</v>
      </c>
      <c r="Y8">
        <v>4</v>
      </c>
      <c r="Z8" s="29">
        <v>0</v>
      </c>
      <c r="AB8" s="28">
        <v>13</v>
      </c>
      <c r="AC8" s="28">
        <v>100</v>
      </c>
      <c r="AD8" s="30">
        <v>3500000</v>
      </c>
      <c r="AF8" s="28">
        <v>13</v>
      </c>
      <c r="AG8" s="28">
        <v>100</v>
      </c>
      <c r="AH8" s="30">
        <v>600000</v>
      </c>
    </row>
    <row r="9" spans="1:34" x14ac:dyDescent="0.2">
      <c r="A9" t="s">
        <v>83</v>
      </c>
      <c r="B9">
        <v>1</v>
      </c>
      <c r="C9">
        <v>5</v>
      </c>
      <c r="D9" s="26">
        <v>0.8</v>
      </c>
      <c r="E9" s="26">
        <v>0.1</v>
      </c>
      <c r="F9" s="23">
        <f>Demand_Profile[[#This Row],[IND]]+Demand_Profile[[#This Row],[RES]]</f>
        <v>0.9</v>
      </c>
      <c r="H9">
        <v>5</v>
      </c>
      <c r="I9" s="26">
        <f>AVERAGEIFS(Demand_Profile[RES], Demand_Profile[HOUR],Demand_Profile_General[[#This Row],[HOUR]])</f>
        <v>0.79999999999999993</v>
      </c>
      <c r="J9" s="26">
        <f>AVERAGEIFS(Demand_Profile[IND],Demand_Profile[HOUR],Demand_Profile_General[[#This Row],[HOUR]])</f>
        <v>9.9999999999999992E-2</v>
      </c>
      <c r="K9" s="23">
        <f>Demand_Profile_General[[#This Row],[RES]]+Demand_Profile_General[[#This Row],[IND]]</f>
        <v>0.89999999999999991</v>
      </c>
      <c r="M9">
        <v>5</v>
      </c>
      <c r="N9" s="27">
        <v>0.5</v>
      </c>
      <c r="O9" s="27">
        <v>0.1</v>
      </c>
      <c r="P9" s="15">
        <f>Demand_Profile_Weights[[#This Row],[W_RES]]/SUM(Demand_Profile_Weights[W_RES])</f>
        <v>2.3696682464454982E-2</v>
      </c>
      <c r="Q9" s="16">
        <f>Demand_Profile_Weights[[#This Row],[W_IND]]/SUM(Demand_Profile_Weights[W_IND])</f>
        <v>8.9285714285714333E-3</v>
      </c>
      <c r="R9" s="16">
        <f>IF(Tipo_Perfil="Mixta", Demand_Profile_Weights[[#This Row],[W_RES_BASE]]*(1-alpha_mix)+Demand_Profile_Weights[[#This Row],[W_IND_BASE]]*alpha_mix, IF(Tipo_Perfil="Residencial", Demand_Profile_Weights[[#This Row],[W_RES_BASE]], Demand_Profile_Weights[[#This Row],[W_IND_BASE]]))</f>
        <v>1.1882193635748143E-2</v>
      </c>
      <c r="S9" s="14">
        <f>Demand_Profile_Weights[[#This Row],[W_TOTAL]]*E_mes/(365/12)</f>
        <v>0.78129492399439837</v>
      </c>
      <c r="U9">
        <v>6</v>
      </c>
      <c r="V9" s="27">
        <v>1.08</v>
      </c>
      <c r="W9" s="28">
        <v>5.5</v>
      </c>
      <c r="Y9">
        <v>5</v>
      </c>
      <c r="Z9" s="29">
        <v>0</v>
      </c>
      <c r="AB9" s="28">
        <v>100</v>
      </c>
      <c r="AC9" s="28">
        <v>200</v>
      </c>
      <c r="AD9" s="39">
        <v>3400000</v>
      </c>
      <c r="AF9" s="28">
        <v>100</v>
      </c>
      <c r="AG9" s="28">
        <v>200</v>
      </c>
      <c r="AH9" s="39">
        <v>550000</v>
      </c>
    </row>
    <row r="10" spans="1:34" x14ac:dyDescent="0.2">
      <c r="A10" t="s">
        <v>83</v>
      </c>
      <c r="B10">
        <v>1</v>
      </c>
      <c r="C10">
        <v>6</v>
      </c>
      <c r="D10" s="26">
        <v>0.8</v>
      </c>
      <c r="E10" s="26">
        <v>0.1</v>
      </c>
      <c r="F10" s="23">
        <f>Demand_Profile[[#This Row],[IND]]+Demand_Profile[[#This Row],[RES]]</f>
        <v>0.9</v>
      </c>
      <c r="H10">
        <v>6</v>
      </c>
      <c r="I10" s="26">
        <f>AVERAGEIFS(Demand_Profile[RES], Demand_Profile[HOUR],Demand_Profile_General[[#This Row],[HOUR]])</f>
        <v>0.79999999999999993</v>
      </c>
      <c r="J10" s="26">
        <f>AVERAGEIFS(Demand_Profile[IND],Demand_Profile[HOUR],Demand_Profile_General[[#This Row],[HOUR]])</f>
        <v>9.9999999999999992E-2</v>
      </c>
      <c r="K10" s="23">
        <f>Demand_Profile_General[[#This Row],[RES]]+Demand_Profile_General[[#This Row],[IND]]</f>
        <v>0.89999999999999991</v>
      </c>
      <c r="M10">
        <v>6</v>
      </c>
      <c r="N10" s="27">
        <v>0.8</v>
      </c>
      <c r="O10" s="27">
        <v>0.1</v>
      </c>
      <c r="P10" s="15">
        <f>Demand_Profile_Weights[[#This Row],[W_RES]]/SUM(Demand_Profile_Weights[W_RES])</f>
        <v>3.7914691943127972E-2</v>
      </c>
      <c r="Q10" s="16">
        <f>Demand_Profile_Weights[[#This Row],[W_IND]]/SUM(Demand_Profile_Weights[W_IND])</f>
        <v>8.9285714285714333E-3</v>
      </c>
      <c r="R10" s="16">
        <f>IF(Tipo_Perfil="Mixta", Demand_Profile_Weights[[#This Row],[W_RES_BASE]]*(1-alpha_mix)+Demand_Profile_Weights[[#This Row],[W_IND_BASE]]*alpha_mix, IF(Tipo_Perfil="Residencial", Demand_Profile_Weights[[#This Row],[W_RES_BASE]], Demand_Profile_Weights[[#This Row],[W_IND_BASE]]))</f>
        <v>1.472579553148274E-2</v>
      </c>
      <c r="S10" s="14">
        <f>Demand_Profile_Weights[[#This Row],[W_TOTAL]]*E_mes/(365/12)</f>
        <v>0.96827148700160481</v>
      </c>
      <c r="U10">
        <v>7</v>
      </c>
      <c r="V10" s="27">
        <v>1.05</v>
      </c>
      <c r="W10" s="28">
        <v>5.5</v>
      </c>
      <c r="Y10">
        <v>6</v>
      </c>
      <c r="Z10" s="29">
        <v>0</v>
      </c>
      <c r="AB10" s="28">
        <v>200</v>
      </c>
      <c r="AC10" s="28">
        <v>500</v>
      </c>
      <c r="AD10" s="39">
        <v>3350000</v>
      </c>
      <c r="AF10" s="28">
        <v>200</v>
      </c>
      <c r="AG10" s="28">
        <v>500</v>
      </c>
      <c r="AH10" s="39">
        <v>500000</v>
      </c>
    </row>
    <row r="11" spans="1:34" x14ac:dyDescent="0.2">
      <c r="A11" t="s">
        <v>83</v>
      </c>
      <c r="B11">
        <v>1</v>
      </c>
      <c r="C11">
        <v>7</v>
      </c>
      <c r="D11" s="26">
        <v>1.1000000000000001</v>
      </c>
      <c r="E11" s="26">
        <v>0.1</v>
      </c>
      <c r="F11" s="23">
        <f>Demand_Profile[[#This Row],[IND]]+Demand_Profile[[#This Row],[RES]]</f>
        <v>1.2000000000000002</v>
      </c>
      <c r="H11">
        <v>7</v>
      </c>
      <c r="I11" s="26">
        <f>AVERAGEIFS(Demand_Profile[RES], Demand_Profile[HOUR],Demand_Profile_General[[#This Row],[HOUR]])</f>
        <v>1.0999999999999999</v>
      </c>
      <c r="J11" s="26">
        <f>AVERAGEIFS(Demand_Profile[IND],Demand_Profile[HOUR],Demand_Profile_General[[#This Row],[HOUR]])</f>
        <v>9.9999999999999992E-2</v>
      </c>
      <c r="K11" s="23">
        <f>Demand_Profile_General[[#This Row],[RES]]+Demand_Profile_General[[#This Row],[IND]]</f>
        <v>1.2</v>
      </c>
      <c r="M11">
        <v>7</v>
      </c>
      <c r="N11" s="27">
        <v>1.1000000000000001</v>
      </c>
      <c r="O11" s="27">
        <v>0.1</v>
      </c>
      <c r="P11" s="15">
        <f>Demand_Profile_Weights[[#This Row],[W_RES]]/SUM(Demand_Profile_Weights[W_RES])</f>
        <v>5.2132701421800966E-2</v>
      </c>
      <c r="Q11" s="16">
        <f>Demand_Profile_Weights[[#This Row],[W_IND]]/SUM(Demand_Profile_Weights[W_IND])</f>
        <v>8.9285714285714333E-3</v>
      </c>
      <c r="R11" s="16">
        <f>IF(Tipo_Perfil="Mixta", Demand_Profile_Weights[[#This Row],[W_RES_BASE]]*(1-alpha_mix)+Demand_Profile_Weights[[#This Row],[W_IND_BASE]]*alpha_mix, IF(Tipo_Perfil="Residencial", Demand_Profile_Weights[[#This Row],[W_RES_BASE]], Demand_Profile_Weights[[#This Row],[W_IND_BASE]]))</f>
        <v>1.7569397427217338E-2</v>
      </c>
      <c r="S11" s="14">
        <f>Demand_Profile_Weights[[#This Row],[W_TOTAL]]*E_mes/(365/12)</f>
        <v>1.1552480500088114</v>
      </c>
      <c r="U11">
        <v>8</v>
      </c>
      <c r="V11" s="27">
        <v>1.02</v>
      </c>
      <c r="W11" s="28">
        <v>5.5</v>
      </c>
      <c r="Y11">
        <v>7</v>
      </c>
      <c r="Z11" s="29">
        <v>3.4074173700000002E-2</v>
      </c>
    </row>
    <row r="12" spans="1:34" x14ac:dyDescent="0.2">
      <c r="A12" t="s">
        <v>83</v>
      </c>
      <c r="B12">
        <v>1</v>
      </c>
      <c r="C12">
        <v>8</v>
      </c>
      <c r="D12" s="26">
        <v>1.1000000000000001</v>
      </c>
      <c r="E12" s="26">
        <v>1</v>
      </c>
      <c r="F12" s="23">
        <f>Demand_Profile[[#This Row],[IND]]+Demand_Profile[[#This Row],[RES]]</f>
        <v>2.1</v>
      </c>
      <c r="H12">
        <v>8</v>
      </c>
      <c r="I12" s="26">
        <f>AVERAGEIFS(Demand_Profile[RES], Demand_Profile[HOUR],Demand_Profile_General[[#This Row],[HOUR]])</f>
        <v>1.0999999999999999</v>
      </c>
      <c r="J12" s="26">
        <f>AVERAGEIFS(Demand_Profile[IND],Demand_Profile[HOUR],Demand_Profile_General[[#This Row],[HOUR]])</f>
        <v>0.74285714285714277</v>
      </c>
      <c r="K12" s="23">
        <f>Demand_Profile_General[[#This Row],[RES]]+Demand_Profile_General[[#This Row],[IND]]</f>
        <v>1.8428571428571425</v>
      </c>
      <c r="M12">
        <v>8</v>
      </c>
      <c r="N12" s="27">
        <v>1.1000000000000001</v>
      </c>
      <c r="O12" s="27">
        <v>0.1</v>
      </c>
      <c r="P12" s="15">
        <f>Demand_Profile_Weights[[#This Row],[W_RES]]/SUM(Demand_Profile_Weights[W_RES])</f>
        <v>5.2132701421800966E-2</v>
      </c>
      <c r="Q12" s="16">
        <f>Demand_Profile_Weights[[#This Row],[W_IND]]/SUM(Demand_Profile_Weights[W_IND])</f>
        <v>8.9285714285714333E-3</v>
      </c>
      <c r="R12" s="16">
        <f>IF(Tipo_Perfil="Mixta", Demand_Profile_Weights[[#This Row],[W_RES_BASE]]*(1-alpha_mix)+Demand_Profile_Weights[[#This Row],[W_IND_BASE]]*alpha_mix, IF(Tipo_Perfil="Residencial", Demand_Profile_Weights[[#This Row],[W_RES_BASE]], Demand_Profile_Weights[[#This Row],[W_IND_BASE]]))</f>
        <v>1.7569397427217338E-2</v>
      </c>
      <c r="S12" s="14">
        <f>Demand_Profile_Weights[[#This Row],[W_TOTAL]]*E_mes/(365/12)</f>
        <v>1.1552480500088114</v>
      </c>
      <c r="U12">
        <v>9</v>
      </c>
      <c r="V12" s="27">
        <v>0.98</v>
      </c>
      <c r="W12" s="28">
        <v>5.5</v>
      </c>
      <c r="Y12">
        <v>8</v>
      </c>
      <c r="Z12" s="29">
        <v>6.5826248800000001E-2</v>
      </c>
    </row>
    <row r="13" spans="1:34" x14ac:dyDescent="0.2">
      <c r="A13" t="s">
        <v>83</v>
      </c>
      <c r="B13">
        <v>1</v>
      </c>
      <c r="C13">
        <v>9</v>
      </c>
      <c r="D13" s="26">
        <v>0.8</v>
      </c>
      <c r="E13" s="26">
        <v>1</v>
      </c>
      <c r="F13" s="23">
        <f>Demand_Profile[[#This Row],[IND]]+Demand_Profile[[#This Row],[RES]]</f>
        <v>1.8</v>
      </c>
      <c r="H13">
        <v>9</v>
      </c>
      <c r="I13" s="26">
        <f>AVERAGEIFS(Demand_Profile[RES], Demand_Profile[HOUR],Demand_Profile_General[[#This Row],[HOUR]])</f>
        <v>0.79999999999999993</v>
      </c>
      <c r="J13" s="26">
        <f>AVERAGEIFS(Demand_Profile[IND],Demand_Profile[HOUR],Demand_Profile_General[[#This Row],[HOUR]])</f>
        <v>0.74285714285714277</v>
      </c>
      <c r="K13" s="23">
        <f>Demand_Profile_General[[#This Row],[RES]]+Demand_Profile_General[[#This Row],[IND]]</f>
        <v>1.5428571428571427</v>
      </c>
      <c r="M13">
        <v>9</v>
      </c>
      <c r="N13" s="27">
        <v>0.7</v>
      </c>
      <c r="O13" s="27">
        <v>1.2</v>
      </c>
      <c r="P13" s="15">
        <f>Demand_Profile_Weights[[#This Row],[W_RES]]/SUM(Demand_Profile_Weights[W_RES])</f>
        <v>3.3175355450236976E-2</v>
      </c>
      <c r="Q13" s="16">
        <f>Demand_Profile_Weights[[#This Row],[W_IND]]/SUM(Demand_Profile_Weights[W_IND])</f>
        <v>0.10714285714285718</v>
      </c>
      <c r="R13" s="16">
        <f>IF(Tipo_Perfil="Mixta", Demand_Profile_Weights[[#This Row],[W_RES_BASE]]*(1-alpha_mix)+Demand_Profile_Weights[[#This Row],[W_IND_BASE]]*alpha_mix, IF(Tipo_Perfil="Residencial", Demand_Profile_Weights[[#This Row],[W_RES_BASE]], Demand_Profile_Weights[[#This Row],[W_IND_BASE]]))</f>
        <v>9.2349356804333135E-2</v>
      </c>
      <c r="S13" s="14">
        <f>Demand_Profile_Weights[[#This Row],[W_TOTAL]]*E_mes/(365/12)</f>
        <v>6.0722864748054661</v>
      </c>
      <c r="U13">
        <v>10</v>
      </c>
      <c r="V13" s="27">
        <v>0.95</v>
      </c>
      <c r="W13" s="28">
        <v>5.5</v>
      </c>
      <c r="Y13">
        <v>9</v>
      </c>
      <c r="Z13" s="29">
        <v>9.3092373800000003E-2</v>
      </c>
    </row>
    <row r="14" spans="1:34" x14ac:dyDescent="0.2">
      <c r="A14" t="s">
        <v>83</v>
      </c>
      <c r="B14">
        <v>1</v>
      </c>
      <c r="C14">
        <v>10</v>
      </c>
      <c r="D14" s="26">
        <v>0.8</v>
      </c>
      <c r="E14" s="26">
        <v>1</v>
      </c>
      <c r="F14" s="23">
        <f>Demand_Profile[[#This Row],[IND]]+Demand_Profile[[#This Row],[RES]]</f>
        <v>1.8</v>
      </c>
      <c r="H14">
        <v>10</v>
      </c>
      <c r="I14" s="26">
        <f>AVERAGEIFS(Demand_Profile[RES], Demand_Profile[HOUR],Demand_Profile_General[[#This Row],[HOUR]])</f>
        <v>0.79999999999999993</v>
      </c>
      <c r="J14" s="26">
        <f>AVERAGEIFS(Demand_Profile[IND],Demand_Profile[HOUR],Demand_Profile_General[[#This Row],[HOUR]])</f>
        <v>0.74285714285714277</v>
      </c>
      <c r="K14" s="23">
        <f>Demand_Profile_General[[#This Row],[RES]]+Demand_Profile_General[[#This Row],[IND]]</f>
        <v>1.5428571428571427</v>
      </c>
      <c r="M14">
        <v>10</v>
      </c>
      <c r="N14" s="27">
        <v>0.7</v>
      </c>
      <c r="O14" s="27">
        <v>1.2</v>
      </c>
      <c r="P14" s="15">
        <f>Demand_Profile_Weights[[#This Row],[W_RES]]/SUM(Demand_Profile_Weights[W_RES])</f>
        <v>3.3175355450236976E-2</v>
      </c>
      <c r="Q14" s="16">
        <f>Demand_Profile_Weights[[#This Row],[W_IND]]/SUM(Demand_Profile_Weights[W_IND])</f>
        <v>0.10714285714285718</v>
      </c>
      <c r="R14" s="16">
        <f>IF(Tipo_Perfil="Mixta", Demand_Profile_Weights[[#This Row],[W_RES_BASE]]*(1-alpha_mix)+Demand_Profile_Weights[[#This Row],[W_IND_BASE]]*alpha_mix, IF(Tipo_Perfil="Residencial", Demand_Profile_Weights[[#This Row],[W_RES_BASE]], Demand_Profile_Weights[[#This Row],[W_IND_BASE]]))</f>
        <v>9.2349356804333135E-2</v>
      </c>
      <c r="S14" s="14">
        <f>Demand_Profile_Weights[[#This Row],[W_TOTAL]]*E_mes/(365/12)</f>
        <v>6.0722864748054661</v>
      </c>
      <c r="U14">
        <v>11</v>
      </c>
      <c r="V14" s="27">
        <v>0.95</v>
      </c>
      <c r="W14" s="28">
        <v>5.5</v>
      </c>
      <c r="Y14">
        <v>10</v>
      </c>
      <c r="Z14" s="29">
        <v>0.114014407</v>
      </c>
    </row>
    <row r="15" spans="1:34" x14ac:dyDescent="0.2">
      <c r="A15" t="s">
        <v>83</v>
      </c>
      <c r="B15">
        <v>1</v>
      </c>
      <c r="C15">
        <v>11</v>
      </c>
      <c r="D15" s="26">
        <v>0.8</v>
      </c>
      <c r="E15" s="26">
        <v>1</v>
      </c>
      <c r="F15" s="23">
        <f>Demand_Profile[[#This Row],[IND]]+Demand_Profile[[#This Row],[RES]]</f>
        <v>1.8</v>
      </c>
      <c r="H15">
        <v>11</v>
      </c>
      <c r="I15" s="26">
        <f>AVERAGEIFS(Demand_Profile[RES], Demand_Profile[HOUR],Demand_Profile_General[[#This Row],[HOUR]])</f>
        <v>0.79999999999999993</v>
      </c>
      <c r="J15" s="26">
        <f>AVERAGEIFS(Demand_Profile[IND],Demand_Profile[HOUR],Demand_Profile_General[[#This Row],[HOUR]])</f>
        <v>0.74285714285714277</v>
      </c>
      <c r="K15" s="23">
        <f>Demand_Profile_General[[#This Row],[RES]]+Demand_Profile_General[[#This Row],[IND]]</f>
        <v>1.5428571428571427</v>
      </c>
      <c r="M15">
        <v>11</v>
      </c>
      <c r="N15" s="27">
        <v>0.7</v>
      </c>
      <c r="O15" s="27">
        <v>1.2</v>
      </c>
      <c r="P15" s="15">
        <f>Demand_Profile_Weights[[#This Row],[W_RES]]/SUM(Demand_Profile_Weights[W_RES])</f>
        <v>3.3175355450236976E-2</v>
      </c>
      <c r="Q15" s="16">
        <f>Demand_Profile_Weights[[#This Row],[W_IND]]/SUM(Demand_Profile_Weights[W_IND])</f>
        <v>0.10714285714285718</v>
      </c>
      <c r="R15" s="16">
        <f>IF(Tipo_Perfil="Mixta", Demand_Profile_Weights[[#This Row],[W_RES_BASE]]*(1-alpha_mix)+Demand_Profile_Weights[[#This Row],[W_IND_BASE]]*alpha_mix, IF(Tipo_Perfil="Residencial", Demand_Profile_Weights[[#This Row],[W_RES_BASE]], Demand_Profile_Weights[[#This Row],[W_IND_BASE]]))</f>
        <v>9.2349356804333135E-2</v>
      </c>
      <c r="S15" s="14">
        <f>Demand_Profile_Weights[[#This Row],[W_TOTAL]]*E_mes/(365/12)</f>
        <v>6.0722864748054661</v>
      </c>
      <c r="U15">
        <v>12</v>
      </c>
      <c r="V15" s="27">
        <v>0.98</v>
      </c>
      <c r="W15" s="28">
        <v>5.5</v>
      </c>
      <c r="Y15">
        <v>11</v>
      </c>
      <c r="Z15" s="29">
        <v>0.12716654799999999</v>
      </c>
    </row>
    <row r="16" spans="1:34" x14ac:dyDescent="0.2">
      <c r="A16" t="s">
        <v>83</v>
      </c>
      <c r="B16">
        <v>1</v>
      </c>
      <c r="C16">
        <v>12</v>
      </c>
      <c r="D16" s="26">
        <v>0.8</v>
      </c>
      <c r="E16" s="26">
        <v>1</v>
      </c>
      <c r="F16" s="23">
        <f>Demand_Profile[[#This Row],[IND]]+Demand_Profile[[#This Row],[RES]]</f>
        <v>1.8</v>
      </c>
      <c r="H16">
        <v>12</v>
      </c>
      <c r="I16" s="26">
        <f>AVERAGEIFS(Demand_Profile[RES], Demand_Profile[HOUR],Demand_Profile_General[[#This Row],[HOUR]])</f>
        <v>0.79999999999999993</v>
      </c>
      <c r="J16" s="26">
        <f>AVERAGEIFS(Demand_Profile[IND],Demand_Profile[HOUR],Demand_Profile_General[[#This Row],[HOUR]])</f>
        <v>0.74285714285714277</v>
      </c>
      <c r="K16" s="23">
        <f>Demand_Profile_General[[#This Row],[RES]]+Demand_Profile_General[[#This Row],[IND]]</f>
        <v>1.5428571428571427</v>
      </c>
      <c r="M16">
        <v>12</v>
      </c>
      <c r="N16" s="27">
        <v>0.9</v>
      </c>
      <c r="O16" s="27">
        <v>1.2</v>
      </c>
      <c r="P16" s="15">
        <f>Demand_Profile_Weights[[#This Row],[W_RES]]/SUM(Demand_Profile_Weights[W_RES])</f>
        <v>4.2654028436018968E-2</v>
      </c>
      <c r="Q16" s="16">
        <f>Demand_Profile_Weights[[#This Row],[W_IND]]/SUM(Demand_Profile_Weights[W_IND])</f>
        <v>0.10714285714285718</v>
      </c>
      <c r="R16" s="16">
        <f>IF(Tipo_Perfil="Mixta", Demand_Profile_Weights[[#This Row],[W_RES_BASE]]*(1-alpha_mix)+Demand_Profile_Weights[[#This Row],[W_IND_BASE]]*alpha_mix, IF(Tipo_Perfil="Residencial", Demand_Profile_Weights[[#This Row],[W_RES_BASE]], Demand_Profile_Weights[[#This Row],[W_IND_BASE]]))</f>
        <v>9.4245091401489539E-2</v>
      </c>
      <c r="S16" s="14">
        <f>Demand_Profile_Weights[[#This Row],[W_TOTAL]]*E_mes/(365/12)</f>
        <v>6.1969375168102712</v>
      </c>
      <c r="Y16">
        <v>12</v>
      </c>
      <c r="Z16" s="29">
        <v>0.13165249800000001</v>
      </c>
    </row>
    <row r="17" spans="1:26" x14ac:dyDescent="0.2">
      <c r="A17" t="s">
        <v>83</v>
      </c>
      <c r="B17">
        <v>1</v>
      </c>
      <c r="C17">
        <v>13</v>
      </c>
      <c r="D17" s="26">
        <v>0.8</v>
      </c>
      <c r="E17" s="26">
        <v>1</v>
      </c>
      <c r="F17" s="23">
        <f>Demand_Profile[[#This Row],[IND]]+Demand_Profile[[#This Row],[RES]]</f>
        <v>1.8</v>
      </c>
      <c r="H17">
        <v>13</v>
      </c>
      <c r="I17" s="26">
        <f>AVERAGEIFS(Demand_Profile[RES], Demand_Profile[HOUR],Demand_Profile_General[[#This Row],[HOUR]])</f>
        <v>0.79999999999999993</v>
      </c>
      <c r="J17" s="26">
        <f>AVERAGEIFS(Demand_Profile[IND],Demand_Profile[HOUR],Demand_Profile_General[[#This Row],[HOUR]])</f>
        <v>0.74285714285714277</v>
      </c>
      <c r="K17" s="23">
        <f>Demand_Profile_General[[#This Row],[RES]]+Demand_Profile_General[[#This Row],[IND]]</f>
        <v>1.5428571428571427</v>
      </c>
      <c r="M17">
        <v>13</v>
      </c>
      <c r="N17" s="27">
        <v>0.7</v>
      </c>
      <c r="O17" s="27">
        <v>1.2</v>
      </c>
      <c r="P17" s="15">
        <f>Demand_Profile_Weights[[#This Row],[W_RES]]/SUM(Demand_Profile_Weights[W_RES])</f>
        <v>3.3175355450236976E-2</v>
      </c>
      <c r="Q17" s="16">
        <f>Demand_Profile_Weights[[#This Row],[W_IND]]/SUM(Demand_Profile_Weights[W_IND])</f>
        <v>0.10714285714285718</v>
      </c>
      <c r="R17" s="16">
        <f>IF(Tipo_Perfil="Mixta", Demand_Profile_Weights[[#This Row],[W_RES_BASE]]*(1-alpha_mix)+Demand_Profile_Weights[[#This Row],[W_IND_BASE]]*alpha_mix, IF(Tipo_Perfil="Residencial", Demand_Profile_Weights[[#This Row],[W_RES_BASE]], Demand_Profile_Weights[[#This Row],[W_IND_BASE]]))</f>
        <v>9.2349356804333135E-2</v>
      </c>
      <c r="S17" s="14">
        <f>Demand_Profile_Weights[[#This Row],[W_TOTAL]]*E_mes/(365/12)</f>
        <v>6.0722864748054661</v>
      </c>
      <c r="Y17">
        <v>13</v>
      </c>
      <c r="Z17" s="29">
        <v>0.12716654799999999</v>
      </c>
    </row>
    <row r="18" spans="1:26" x14ac:dyDescent="0.2">
      <c r="A18" t="s">
        <v>83</v>
      </c>
      <c r="B18">
        <v>1</v>
      </c>
      <c r="C18">
        <v>14</v>
      </c>
      <c r="D18" s="26">
        <v>0.8</v>
      </c>
      <c r="E18" s="26">
        <v>1</v>
      </c>
      <c r="F18" s="23">
        <f>Demand_Profile[[#This Row],[IND]]+Demand_Profile[[#This Row],[RES]]</f>
        <v>1.8</v>
      </c>
      <c r="H18">
        <v>14</v>
      </c>
      <c r="I18" s="26">
        <f>AVERAGEIFS(Demand_Profile[RES], Demand_Profile[HOUR],Demand_Profile_General[[#This Row],[HOUR]])</f>
        <v>0.79999999999999993</v>
      </c>
      <c r="J18" s="26">
        <f>AVERAGEIFS(Demand_Profile[IND],Demand_Profile[HOUR],Demand_Profile_General[[#This Row],[HOUR]])</f>
        <v>0.74285714285714277</v>
      </c>
      <c r="K18" s="23">
        <f>Demand_Profile_General[[#This Row],[RES]]+Demand_Profile_General[[#This Row],[IND]]</f>
        <v>1.5428571428571427</v>
      </c>
      <c r="M18">
        <v>14</v>
      </c>
      <c r="N18" s="27">
        <v>0.7</v>
      </c>
      <c r="O18" s="27">
        <v>1.2</v>
      </c>
      <c r="P18" s="15">
        <f>Demand_Profile_Weights[[#This Row],[W_RES]]/SUM(Demand_Profile_Weights[W_RES])</f>
        <v>3.3175355450236976E-2</v>
      </c>
      <c r="Q18" s="16">
        <f>Demand_Profile_Weights[[#This Row],[W_IND]]/SUM(Demand_Profile_Weights[W_IND])</f>
        <v>0.10714285714285718</v>
      </c>
      <c r="R18" s="16">
        <f>IF(Tipo_Perfil="Mixta", Demand_Profile_Weights[[#This Row],[W_RES_BASE]]*(1-alpha_mix)+Demand_Profile_Weights[[#This Row],[W_IND_BASE]]*alpha_mix, IF(Tipo_Perfil="Residencial", Demand_Profile_Weights[[#This Row],[W_RES_BASE]], Demand_Profile_Weights[[#This Row],[W_IND_BASE]]))</f>
        <v>9.2349356804333135E-2</v>
      </c>
      <c r="S18" s="14">
        <f>Demand_Profile_Weights[[#This Row],[W_TOTAL]]*E_mes/(365/12)</f>
        <v>6.0722864748054661</v>
      </c>
      <c r="V18" s="14"/>
      <c r="Y18">
        <v>14</v>
      </c>
      <c r="Z18" s="29">
        <v>0.114014407</v>
      </c>
    </row>
    <row r="19" spans="1:26" x14ac:dyDescent="0.2">
      <c r="A19" t="s">
        <v>83</v>
      </c>
      <c r="B19">
        <v>1</v>
      </c>
      <c r="C19">
        <v>15</v>
      </c>
      <c r="D19" s="26">
        <v>0.8</v>
      </c>
      <c r="E19" s="26">
        <v>1</v>
      </c>
      <c r="F19" s="23">
        <f>Demand_Profile[[#This Row],[IND]]+Demand_Profile[[#This Row],[RES]]</f>
        <v>1.8</v>
      </c>
      <c r="H19">
        <v>15</v>
      </c>
      <c r="I19" s="26">
        <f>AVERAGEIFS(Demand_Profile[RES], Demand_Profile[HOUR],Demand_Profile_General[[#This Row],[HOUR]])</f>
        <v>0.79999999999999993</v>
      </c>
      <c r="J19" s="26">
        <f>AVERAGEIFS(Demand_Profile[IND],Demand_Profile[HOUR],Demand_Profile_General[[#This Row],[HOUR]])</f>
        <v>0.74285714285714277</v>
      </c>
      <c r="K19" s="23">
        <f>Demand_Profile_General[[#This Row],[RES]]+Demand_Profile_General[[#This Row],[IND]]</f>
        <v>1.5428571428571427</v>
      </c>
      <c r="M19">
        <v>15</v>
      </c>
      <c r="N19" s="27">
        <v>0.7</v>
      </c>
      <c r="O19" s="27">
        <v>1.2</v>
      </c>
      <c r="P19" s="15">
        <f>Demand_Profile_Weights[[#This Row],[W_RES]]/SUM(Demand_Profile_Weights[W_RES])</f>
        <v>3.3175355450236976E-2</v>
      </c>
      <c r="Q19" s="16">
        <f>Demand_Profile_Weights[[#This Row],[W_IND]]/SUM(Demand_Profile_Weights[W_IND])</f>
        <v>0.10714285714285718</v>
      </c>
      <c r="R19" s="16">
        <f>IF(Tipo_Perfil="Mixta", Demand_Profile_Weights[[#This Row],[W_RES_BASE]]*(1-alpha_mix)+Demand_Profile_Weights[[#This Row],[W_IND_BASE]]*alpha_mix, IF(Tipo_Perfil="Residencial", Demand_Profile_Weights[[#This Row],[W_RES_BASE]], Demand_Profile_Weights[[#This Row],[W_IND_BASE]]))</f>
        <v>9.2349356804333135E-2</v>
      </c>
      <c r="S19" s="14">
        <f>Demand_Profile_Weights[[#This Row],[W_TOTAL]]*E_mes/(365/12)</f>
        <v>6.0722864748054661</v>
      </c>
      <c r="V19" s="36"/>
      <c r="Y19">
        <v>15</v>
      </c>
      <c r="Z19" s="29">
        <v>9.3092373800000003E-2</v>
      </c>
    </row>
    <row r="20" spans="1:26" x14ac:dyDescent="0.2">
      <c r="A20" t="s">
        <v>83</v>
      </c>
      <c r="B20">
        <v>1</v>
      </c>
      <c r="C20">
        <v>16</v>
      </c>
      <c r="D20" s="26">
        <v>0.8</v>
      </c>
      <c r="E20" s="26">
        <v>1</v>
      </c>
      <c r="F20" s="23">
        <f>Demand_Profile[[#This Row],[IND]]+Demand_Profile[[#This Row],[RES]]</f>
        <v>1.8</v>
      </c>
      <c r="H20">
        <v>16</v>
      </c>
      <c r="I20" s="26">
        <f>AVERAGEIFS(Demand_Profile[RES], Demand_Profile[HOUR],Demand_Profile_General[[#This Row],[HOUR]])</f>
        <v>0.79999999999999993</v>
      </c>
      <c r="J20" s="26">
        <f>AVERAGEIFS(Demand_Profile[IND],Demand_Profile[HOUR],Demand_Profile_General[[#This Row],[HOUR]])</f>
        <v>0.74285714285714277</v>
      </c>
      <c r="K20" s="23">
        <f>Demand_Profile_General[[#This Row],[RES]]+Demand_Profile_General[[#This Row],[IND]]</f>
        <v>1.5428571428571427</v>
      </c>
      <c r="M20">
        <v>16</v>
      </c>
      <c r="N20" s="27">
        <v>0.7</v>
      </c>
      <c r="O20" s="27">
        <v>1.2</v>
      </c>
      <c r="P20" s="15">
        <f>Demand_Profile_Weights[[#This Row],[W_RES]]/SUM(Demand_Profile_Weights[W_RES])</f>
        <v>3.3175355450236976E-2</v>
      </c>
      <c r="Q20" s="16">
        <f>Demand_Profile_Weights[[#This Row],[W_IND]]/SUM(Demand_Profile_Weights[W_IND])</f>
        <v>0.10714285714285718</v>
      </c>
      <c r="R20" s="16">
        <f>IF(Tipo_Perfil="Mixta", Demand_Profile_Weights[[#This Row],[W_RES_BASE]]*(1-alpha_mix)+Demand_Profile_Weights[[#This Row],[W_IND_BASE]]*alpha_mix, IF(Tipo_Perfil="Residencial", Demand_Profile_Weights[[#This Row],[W_RES_BASE]], Demand_Profile_Weights[[#This Row],[W_IND_BASE]]))</f>
        <v>9.2349356804333135E-2</v>
      </c>
      <c r="S20" s="14">
        <f>Demand_Profile_Weights[[#This Row],[W_TOTAL]]*E_mes/(365/12)</f>
        <v>6.0722864748054661</v>
      </c>
      <c r="Y20">
        <v>16</v>
      </c>
      <c r="Z20" s="29">
        <v>6.5826248800000001E-2</v>
      </c>
    </row>
    <row r="21" spans="1:26" x14ac:dyDescent="0.2">
      <c r="A21" t="s">
        <v>83</v>
      </c>
      <c r="B21">
        <v>1</v>
      </c>
      <c r="C21">
        <v>17</v>
      </c>
      <c r="D21" s="26">
        <v>0.8</v>
      </c>
      <c r="E21" s="26">
        <v>1</v>
      </c>
      <c r="F21" s="23">
        <f>Demand_Profile[[#This Row],[IND]]+Demand_Profile[[#This Row],[RES]]</f>
        <v>1.8</v>
      </c>
      <c r="H21">
        <v>17</v>
      </c>
      <c r="I21" s="26">
        <f>AVERAGEIFS(Demand_Profile[RES], Demand_Profile[HOUR],Demand_Profile_General[[#This Row],[HOUR]])</f>
        <v>0.79999999999999993</v>
      </c>
      <c r="J21" s="26">
        <f>AVERAGEIFS(Demand_Profile[IND],Demand_Profile[HOUR],Demand_Profile_General[[#This Row],[HOUR]])</f>
        <v>0.74285714285714277</v>
      </c>
      <c r="K21" s="23">
        <f>Demand_Profile_General[[#This Row],[RES]]+Demand_Profile_General[[#This Row],[IND]]</f>
        <v>1.5428571428571427</v>
      </c>
      <c r="M21">
        <v>17</v>
      </c>
      <c r="N21" s="27">
        <v>1.2</v>
      </c>
      <c r="O21" s="27">
        <v>0.1</v>
      </c>
      <c r="P21" s="15">
        <f>Demand_Profile_Weights[[#This Row],[W_RES]]/SUM(Demand_Profile_Weights[W_RES])</f>
        <v>5.6872037914691954E-2</v>
      </c>
      <c r="Q21" s="16">
        <f>Demand_Profile_Weights[[#This Row],[W_IND]]/SUM(Demand_Profile_Weights[W_IND])</f>
        <v>8.9285714285714333E-3</v>
      </c>
      <c r="R21" s="16">
        <f>IF(Tipo_Perfil="Mixta", Demand_Profile_Weights[[#This Row],[W_RES_BASE]]*(1-alpha_mix)+Demand_Profile_Weights[[#This Row],[W_IND_BASE]]*alpha_mix, IF(Tipo_Perfil="Residencial", Demand_Profile_Weights[[#This Row],[W_RES_BASE]], Demand_Profile_Weights[[#This Row],[W_IND_BASE]]))</f>
        <v>1.8517264725795533E-2</v>
      </c>
      <c r="S21" s="14">
        <f>Demand_Profile_Weights[[#This Row],[W_TOTAL]]*E_mes/(365/12)</f>
        <v>1.2175735710112132</v>
      </c>
      <c r="Y21">
        <v>17</v>
      </c>
      <c r="Z21" s="29">
        <v>3.4074173700000002E-2</v>
      </c>
    </row>
    <row r="22" spans="1:26" x14ac:dyDescent="0.2">
      <c r="A22" t="s">
        <v>83</v>
      </c>
      <c r="B22">
        <v>1</v>
      </c>
      <c r="C22">
        <v>18</v>
      </c>
      <c r="D22" s="26">
        <v>1.5</v>
      </c>
      <c r="E22" s="26">
        <v>0.1</v>
      </c>
      <c r="F22" s="23">
        <f>Demand_Profile[[#This Row],[IND]]+Demand_Profile[[#This Row],[RES]]</f>
        <v>1.6</v>
      </c>
      <c r="H22">
        <v>18</v>
      </c>
      <c r="I22" s="26">
        <f>AVERAGEIFS(Demand_Profile[RES], Demand_Profile[HOUR],Demand_Profile_General[[#This Row],[HOUR]])</f>
        <v>1.5</v>
      </c>
      <c r="J22" s="26">
        <f>AVERAGEIFS(Demand_Profile[IND],Demand_Profile[HOUR],Demand_Profile_General[[#This Row],[HOUR]])</f>
        <v>9.9999999999999992E-2</v>
      </c>
      <c r="K22" s="23">
        <f>Demand_Profile_General[[#This Row],[RES]]+Demand_Profile_General[[#This Row],[IND]]</f>
        <v>1.6</v>
      </c>
      <c r="M22">
        <v>18</v>
      </c>
      <c r="N22" s="27">
        <v>1.9</v>
      </c>
      <c r="O22" s="27">
        <v>0.1</v>
      </c>
      <c r="P22" s="15">
        <f>Demand_Profile_Weights[[#This Row],[W_RES]]/SUM(Demand_Profile_Weights[W_RES])</f>
        <v>9.0047393364928924E-2</v>
      </c>
      <c r="Q22" s="16">
        <f>Demand_Profile_Weights[[#This Row],[W_IND]]/SUM(Demand_Profile_Weights[W_IND])</f>
        <v>8.9285714285714333E-3</v>
      </c>
      <c r="R22" s="16">
        <f>IF(Tipo_Perfil="Mixta", Demand_Profile_Weights[[#This Row],[W_RES_BASE]]*(1-alpha_mix)+Demand_Profile_Weights[[#This Row],[W_IND_BASE]]*alpha_mix, IF(Tipo_Perfil="Residencial", Demand_Profile_Weights[[#This Row],[W_RES_BASE]], Demand_Profile_Weights[[#This Row],[W_IND_BASE]]))</f>
        <v>2.5152335815842926E-2</v>
      </c>
      <c r="S22" s="14">
        <f>Demand_Profile_Weights[[#This Row],[W_TOTAL]]*E_mes/(365/12)</f>
        <v>1.653852218028028</v>
      </c>
      <c r="Y22">
        <v>18</v>
      </c>
      <c r="Z22" s="29">
        <v>1.6122781E-17</v>
      </c>
    </row>
    <row r="23" spans="1:26" x14ac:dyDescent="0.2">
      <c r="A23" t="s">
        <v>83</v>
      </c>
      <c r="B23">
        <v>1</v>
      </c>
      <c r="C23">
        <v>19</v>
      </c>
      <c r="D23" s="26">
        <v>1.5</v>
      </c>
      <c r="E23" s="26">
        <v>0.1</v>
      </c>
      <c r="F23" s="23">
        <f>Demand_Profile[[#This Row],[IND]]+Demand_Profile[[#This Row],[RES]]</f>
        <v>1.6</v>
      </c>
      <c r="H23">
        <v>19</v>
      </c>
      <c r="I23" s="26">
        <f>AVERAGEIFS(Demand_Profile[RES], Demand_Profile[HOUR],Demand_Profile_General[[#This Row],[HOUR]])</f>
        <v>1.5</v>
      </c>
      <c r="J23" s="26">
        <f>AVERAGEIFS(Demand_Profile[IND],Demand_Profile[HOUR],Demand_Profile_General[[#This Row],[HOUR]])</f>
        <v>9.9999999999999992E-2</v>
      </c>
      <c r="K23" s="23">
        <f>Demand_Profile_General[[#This Row],[RES]]+Demand_Profile_General[[#This Row],[IND]]</f>
        <v>1.6</v>
      </c>
      <c r="M23">
        <v>19</v>
      </c>
      <c r="N23" s="27">
        <v>1.9</v>
      </c>
      <c r="O23" s="27">
        <v>0.1</v>
      </c>
      <c r="P23" s="15">
        <f>Demand_Profile_Weights[[#This Row],[W_RES]]/SUM(Demand_Profile_Weights[W_RES])</f>
        <v>9.0047393364928924E-2</v>
      </c>
      <c r="Q23" s="16">
        <f>Demand_Profile_Weights[[#This Row],[W_IND]]/SUM(Demand_Profile_Weights[W_IND])</f>
        <v>8.9285714285714333E-3</v>
      </c>
      <c r="R23" s="16">
        <f>IF(Tipo_Perfil="Mixta", Demand_Profile_Weights[[#This Row],[W_RES_BASE]]*(1-alpha_mix)+Demand_Profile_Weights[[#This Row],[W_IND_BASE]]*alpha_mix, IF(Tipo_Perfil="Residencial", Demand_Profile_Weights[[#This Row],[W_RES_BASE]], Demand_Profile_Weights[[#This Row],[W_IND_BASE]]))</f>
        <v>2.5152335815842926E-2</v>
      </c>
      <c r="S23" s="14">
        <f>Demand_Profile_Weights[[#This Row],[W_TOTAL]]*E_mes/(365/12)</f>
        <v>1.653852218028028</v>
      </c>
      <c r="Y23">
        <v>19</v>
      </c>
      <c r="Z23" s="29">
        <v>0</v>
      </c>
    </row>
    <row r="24" spans="1:26" x14ac:dyDescent="0.2">
      <c r="A24" t="s">
        <v>83</v>
      </c>
      <c r="B24">
        <v>1</v>
      </c>
      <c r="C24">
        <v>20</v>
      </c>
      <c r="D24" s="26">
        <v>1.5</v>
      </c>
      <c r="E24" s="26">
        <v>0.1</v>
      </c>
      <c r="F24" s="23">
        <f>Demand_Profile[[#This Row],[IND]]+Demand_Profile[[#This Row],[RES]]</f>
        <v>1.6</v>
      </c>
      <c r="H24">
        <v>20</v>
      </c>
      <c r="I24" s="26">
        <f>AVERAGEIFS(Demand_Profile[RES], Demand_Profile[HOUR],Demand_Profile_General[[#This Row],[HOUR]])</f>
        <v>1.5</v>
      </c>
      <c r="J24" s="26">
        <f>AVERAGEIFS(Demand_Profile[IND],Demand_Profile[HOUR],Demand_Profile_General[[#This Row],[HOUR]])</f>
        <v>9.9999999999999992E-2</v>
      </c>
      <c r="K24" s="23">
        <f>Demand_Profile_General[[#This Row],[RES]]+Demand_Profile_General[[#This Row],[IND]]</f>
        <v>1.6</v>
      </c>
      <c r="M24">
        <v>20</v>
      </c>
      <c r="N24" s="27">
        <v>1.6</v>
      </c>
      <c r="O24" s="27">
        <v>0.1</v>
      </c>
      <c r="P24" s="15">
        <f>Demand_Profile_Weights[[#This Row],[W_RES]]/SUM(Demand_Profile_Weights[W_RES])</f>
        <v>7.5829383886255944E-2</v>
      </c>
      <c r="Q24" s="16">
        <f>Demand_Profile_Weights[[#This Row],[W_IND]]/SUM(Demand_Profile_Weights[W_IND])</f>
        <v>8.9285714285714333E-3</v>
      </c>
      <c r="R24" s="16">
        <f>IF(Tipo_Perfil="Mixta", Demand_Profile_Weights[[#This Row],[W_RES_BASE]]*(1-alpha_mix)+Demand_Profile_Weights[[#This Row],[W_IND_BASE]]*alpha_mix, IF(Tipo_Perfil="Residencial", Demand_Profile_Weights[[#This Row],[W_RES_BASE]], Demand_Profile_Weights[[#This Row],[W_IND_BASE]]))</f>
        <v>2.2308733920108334E-2</v>
      </c>
      <c r="S24" s="14">
        <f>Demand_Profile_Weights[[#This Row],[W_TOTAL]]*E_mes/(365/12)</f>
        <v>1.466875655020822</v>
      </c>
      <c r="Y24">
        <v>20</v>
      </c>
      <c r="Z24" s="29">
        <v>0</v>
      </c>
    </row>
    <row r="25" spans="1:26" x14ac:dyDescent="0.2">
      <c r="A25" t="s">
        <v>83</v>
      </c>
      <c r="B25">
        <v>1</v>
      </c>
      <c r="C25">
        <v>21</v>
      </c>
      <c r="D25" s="26">
        <v>0.8</v>
      </c>
      <c r="E25" s="26">
        <v>0.1</v>
      </c>
      <c r="F25" s="23">
        <f>Demand_Profile[[#This Row],[IND]]+Demand_Profile[[#This Row],[RES]]</f>
        <v>0.9</v>
      </c>
      <c r="H25">
        <v>21</v>
      </c>
      <c r="I25" s="26">
        <f>AVERAGEIFS(Demand_Profile[RES], Demand_Profile[HOUR],Demand_Profile_General[[#This Row],[HOUR]])</f>
        <v>0.79999999999999993</v>
      </c>
      <c r="J25" s="26">
        <f>AVERAGEIFS(Demand_Profile[IND],Demand_Profile[HOUR],Demand_Profile_General[[#This Row],[HOUR]])</f>
        <v>9.9999999999999992E-2</v>
      </c>
      <c r="K25" s="23">
        <f>Demand_Profile_General[[#This Row],[RES]]+Demand_Profile_General[[#This Row],[IND]]</f>
        <v>0.89999999999999991</v>
      </c>
      <c r="M25">
        <v>21</v>
      </c>
      <c r="N25" s="27">
        <v>0.9</v>
      </c>
      <c r="O25" s="27">
        <v>0.1</v>
      </c>
      <c r="P25" s="15">
        <f>Demand_Profile_Weights[[#This Row],[W_RES]]/SUM(Demand_Profile_Weights[W_RES])</f>
        <v>4.2654028436018968E-2</v>
      </c>
      <c r="Q25" s="16">
        <f>Demand_Profile_Weights[[#This Row],[W_IND]]/SUM(Demand_Profile_Weights[W_IND])</f>
        <v>8.9285714285714333E-3</v>
      </c>
      <c r="R25" s="16">
        <f>IF(Tipo_Perfil="Mixta", Demand_Profile_Weights[[#This Row],[W_RES_BASE]]*(1-alpha_mix)+Demand_Profile_Weights[[#This Row],[W_IND_BASE]]*alpha_mix, IF(Tipo_Perfil="Residencial", Demand_Profile_Weights[[#This Row],[W_RES_BASE]], Demand_Profile_Weights[[#This Row],[W_IND_BASE]]))</f>
        <v>1.5673662830060938E-2</v>
      </c>
      <c r="S25" s="14">
        <f>Demand_Profile_Weights[[#This Row],[W_TOTAL]]*E_mes/(365/12)</f>
        <v>1.0305970080040068</v>
      </c>
      <c r="Y25">
        <v>21</v>
      </c>
      <c r="Z25" s="29">
        <v>0</v>
      </c>
    </row>
    <row r="26" spans="1:26" x14ac:dyDescent="0.2">
      <c r="A26" t="s">
        <v>83</v>
      </c>
      <c r="B26">
        <v>1</v>
      </c>
      <c r="C26">
        <v>22</v>
      </c>
      <c r="D26" s="26">
        <v>0.8</v>
      </c>
      <c r="E26" s="26">
        <v>0.1</v>
      </c>
      <c r="F26" s="23">
        <f>Demand_Profile[[#This Row],[IND]]+Demand_Profile[[#This Row],[RES]]</f>
        <v>0.9</v>
      </c>
      <c r="H26">
        <v>22</v>
      </c>
      <c r="I26" s="26">
        <f>AVERAGEIFS(Demand_Profile[RES], Demand_Profile[HOUR],Demand_Profile_General[[#This Row],[HOUR]])</f>
        <v>0.79999999999999993</v>
      </c>
      <c r="J26" s="26">
        <f>AVERAGEIFS(Demand_Profile[IND],Demand_Profile[HOUR],Demand_Profile_General[[#This Row],[HOUR]])</f>
        <v>9.9999999999999992E-2</v>
      </c>
      <c r="K26" s="23">
        <f>Demand_Profile_General[[#This Row],[RES]]+Demand_Profile_General[[#This Row],[IND]]</f>
        <v>0.89999999999999991</v>
      </c>
      <c r="M26">
        <v>22</v>
      </c>
      <c r="N26" s="27">
        <v>0.9</v>
      </c>
      <c r="O26" s="27">
        <v>0.1</v>
      </c>
      <c r="P26" s="15">
        <f>Demand_Profile_Weights[[#This Row],[W_RES]]/SUM(Demand_Profile_Weights[W_RES])</f>
        <v>4.2654028436018968E-2</v>
      </c>
      <c r="Q26" s="16">
        <f>Demand_Profile_Weights[[#This Row],[W_IND]]/SUM(Demand_Profile_Weights[W_IND])</f>
        <v>8.9285714285714333E-3</v>
      </c>
      <c r="R26" s="16">
        <f>IF(Tipo_Perfil="Mixta", Demand_Profile_Weights[[#This Row],[W_RES_BASE]]*(1-alpha_mix)+Demand_Profile_Weights[[#This Row],[W_IND_BASE]]*alpha_mix, IF(Tipo_Perfil="Residencial", Demand_Profile_Weights[[#This Row],[W_RES_BASE]], Demand_Profile_Weights[[#This Row],[W_IND_BASE]]))</f>
        <v>1.5673662830060938E-2</v>
      </c>
      <c r="S26" s="14">
        <f>Demand_Profile_Weights[[#This Row],[W_TOTAL]]*E_mes/(365/12)</f>
        <v>1.0305970080040068</v>
      </c>
      <c r="Y26">
        <v>22</v>
      </c>
      <c r="Z26" s="29">
        <v>0</v>
      </c>
    </row>
    <row r="27" spans="1:26" x14ac:dyDescent="0.2">
      <c r="A27" t="s">
        <v>83</v>
      </c>
      <c r="B27">
        <v>1</v>
      </c>
      <c r="C27">
        <v>23</v>
      </c>
      <c r="D27" s="26">
        <v>0.8</v>
      </c>
      <c r="E27" s="26">
        <v>0.1</v>
      </c>
      <c r="F27" s="23">
        <f>Demand_Profile[[#This Row],[IND]]+Demand_Profile[[#This Row],[RES]]</f>
        <v>0.9</v>
      </c>
      <c r="H27">
        <v>23</v>
      </c>
      <c r="I27" s="26">
        <f>AVERAGEIFS(Demand_Profile[RES], Demand_Profile[HOUR],Demand_Profile_General[[#This Row],[HOUR]])</f>
        <v>0.79999999999999993</v>
      </c>
      <c r="J27" s="26">
        <f>AVERAGEIFS(Demand_Profile[IND],Demand_Profile[HOUR],Demand_Profile_General[[#This Row],[HOUR]])</f>
        <v>9.9999999999999992E-2</v>
      </c>
      <c r="K27" s="23">
        <f>Demand_Profile_General[[#This Row],[RES]]+Demand_Profile_General[[#This Row],[IND]]</f>
        <v>0.89999999999999991</v>
      </c>
      <c r="M27">
        <v>23</v>
      </c>
      <c r="N27" s="27">
        <v>0.9</v>
      </c>
      <c r="O27" s="27">
        <v>0.1</v>
      </c>
      <c r="P27" s="15">
        <f>Demand_Profile_Weights[[#This Row],[W_RES]]/SUM(Demand_Profile_Weights[W_RES])</f>
        <v>4.2654028436018968E-2</v>
      </c>
      <c r="Q27" s="16">
        <f>Demand_Profile_Weights[[#This Row],[W_IND]]/SUM(Demand_Profile_Weights[W_IND])</f>
        <v>8.9285714285714333E-3</v>
      </c>
      <c r="R27" s="16">
        <f>IF(Tipo_Perfil="Mixta", Demand_Profile_Weights[[#This Row],[W_RES_BASE]]*(1-alpha_mix)+Demand_Profile_Weights[[#This Row],[W_IND_BASE]]*alpha_mix, IF(Tipo_Perfil="Residencial", Demand_Profile_Weights[[#This Row],[W_RES_BASE]], Demand_Profile_Weights[[#This Row],[W_IND_BASE]]))</f>
        <v>1.5673662830060938E-2</v>
      </c>
      <c r="S27" s="14">
        <f>Demand_Profile_Weights[[#This Row],[W_TOTAL]]*E_mes/(365/12)</f>
        <v>1.0305970080040068</v>
      </c>
      <c r="Y27">
        <v>23</v>
      </c>
      <c r="Z27" s="29">
        <v>0</v>
      </c>
    </row>
    <row r="28" spans="1:26" x14ac:dyDescent="0.2">
      <c r="A28" t="s">
        <v>84</v>
      </c>
      <c r="B28">
        <v>2</v>
      </c>
      <c r="C28">
        <v>0</v>
      </c>
      <c r="D28" s="26">
        <v>0.8</v>
      </c>
      <c r="E28" s="26">
        <v>0.1</v>
      </c>
      <c r="F28" s="23">
        <f>Demand_Profile[[#This Row],[IND]]+Demand_Profile[[#This Row],[RES]]</f>
        <v>0.9</v>
      </c>
    </row>
    <row r="29" spans="1:26" x14ac:dyDescent="0.2">
      <c r="A29" t="s">
        <v>84</v>
      </c>
      <c r="B29">
        <v>2</v>
      </c>
      <c r="C29">
        <v>1</v>
      </c>
      <c r="D29" s="26">
        <v>0.8</v>
      </c>
      <c r="E29" s="26">
        <v>0.1</v>
      </c>
      <c r="F29" s="23">
        <f>Demand_Profile[[#This Row],[IND]]+Demand_Profile[[#This Row],[RES]]</f>
        <v>0.9</v>
      </c>
    </row>
    <row r="30" spans="1:26" x14ac:dyDescent="0.2">
      <c r="A30" t="s">
        <v>84</v>
      </c>
      <c r="B30">
        <v>2</v>
      </c>
      <c r="C30">
        <v>2</v>
      </c>
      <c r="D30" s="26">
        <v>0.8</v>
      </c>
      <c r="E30" s="26">
        <v>0.1</v>
      </c>
      <c r="F30" s="23">
        <f>Demand_Profile[[#This Row],[IND]]+Demand_Profile[[#This Row],[RES]]</f>
        <v>0.9</v>
      </c>
    </row>
    <row r="31" spans="1:26" x14ac:dyDescent="0.2">
      <c r="A31" t="s">
        <v>84</v>
      </c>
      <c r="B31">
        <v>2</v>
      </c>
      <c r="C31">
        <v>3</v>
      </c>
      <c r="D31" s="26">
        <v>0.8</v>
      </c>
      <c r="E31" s="26">
        <v>0.1</v>
      </c>
      <c r="F31" s="23">
        <f>Demand_Profile[[#This Row],[IND]]+Demand_Profile[[#This Row],[RES]]</f>
        <v>0.9</v>
      </c>
    </row>
    <row r="32" spans="1:26" x14ac:dyDescent="0.2">
      <c r="A32" t="s">
        <v>84</v>
      </c>
      <c r="B32">
        <v>2</v>
      </c>
      <c r="C32">
        <v>4</v>
      </c>
      <c r="D32" s="26">
        <v>0.8</v>
      </c>
      <c r="E32" s="26">
        <v>0.1</v>
      </c>
      <c r="F32" s="23">
        <f>Demand_Profile[[#This Row],[IND]]+Demand_Profile[[#This Row],[RES]]</f>
        <v>0.9</v>
      </c>
    </row>
    <row r="33" spans="1:6" x14ac:dyDescent="0.2">
      <c r="A33" t="s">
        <v>84</v>
      </c>
      <c r="B33">
        <v>2</v>
      </c>
      <c r="C33">
        <v>5</v>
      </c>
      <c r="D33" s="26">
        <v>0.8</v>
      </c>
      <c r="E33" s="26">
        <v>0.1</v>
      </c>
      <c r="F33" s="23">
        <f>Demand_Profile[[#This Row],[IND]]+Demand_Profile[[#This Row],[RES]]</f>
        <v>0.9</v>
      </c>
    </row>
    <row r="34" spans="1:6" x14ac:dyDescent="0.2">
      <c r="A34" t="s">
        <v>84</v>
      </c>
      <c r="B34">
        <v>2</v>
      </c>
      <c r="C34">
        <v>6</v>
      </c>
      <c r="D34" s="26">
        <v>0.8</v>
      </c>
      <c r="E34" s="26">
        <v>0.1</v>
      </c>
      <c r="F34" s="23">
        <f>Demand_Profile[[#This Row],[IND]]+Demand_Profile[[#This Row],[RES]]</f>
        <v>0.9</v>
      </c>
    </row>
    <row r="35" spans="1:6" x14ac:dyDescent="0.2">
      <c r="A35" t="s">
        <v>84</v>
      </c>
      <c r="B35">
        <v>2</v>
      </c>
      <c r="C35">
        <v>7</v>
      </c>
      <c r="D35" s="26">
        <v>1.1000000000000001</v>
      </c>
      <c r="E35" s="26">
        <v>0.1</v>
      </c>
      <c r="F35" s="23">
        <f>Demand_Profile[[#This Row],[IND]]+Demand_Profile[[#This Row],[RES]]</f>
        <v>1.2000000000000002</v>
      </c>
    </row>
    <row r="36" spans="1:6" x14ac:dyDescent="0.2">
      <c r="A36" t="s">
        <v>84</v>
      </c>
      <c r="B36">
        <v>2</v>
      </c>
      <c r="C36">
        <v>8</v>
      </c>
      <c r="D36" s="26">
        <v>1.1000000000000001</v>
      </c>
      <c r="E36" s="26">
        <v>1</v>
      </c>
      <c r="F36" s="23">
        <f>Demand_Profile[[#This Row],[IND]]+Demand_Profile[[#This Row],[RES]]</f>
        <v>2.1</v>
      </c>
    </row>
    <row r="37" spans="1:6" x14ac:dyDescent="0.2">
      <c r="A37" t="s">
        <v>84</v>
      </c>
      <c r="B37">
        <v>2</v>
      </c>
      <c r="C37">
        <v>9</v>
      </c>
      <c r="D37" s="26">
        <v>0.8</v>
      </c>
      <c r="E37" s="26">
        <v>1</v>
      </c>
      <c r="F37" s="23">
        <f>Demand_Profile[[#This Row],[IND]]+Demand_Profile[[#This Row],[RES]]</f>
        <v>1.8</v>
      </c>
    </row>
    <row r="38" spans="1:6" x14ac:dyDescent="0.2">
      <c r="A38" t="s">
        <v>84</v>
      </c>
      <c r="B38">
        <v>2</v>
      </c>
      <c r="C38">
        <v>10</v>
      </c>
      <c r="D38" s="26">
        <v>0.8</v>
      </c>
      <c r="E38" s="26">
        <v>1</v>
      </c>
      <c r="F38" s="23">
        <f>Demand_Profile[[#This Row],[IND]]+Demand_Profile[[#This Row],[RES]]</f>
        <v>1.8</v>
      </c>
    </row>
    <row r="39" spans="1:6" x14ac:dyDescent="0.2">
      <c r="A39" t="s">
        <v>84</v>
      </c>
      <c r="B39">
        <v>2</v>
      </c>
      <c r="C39">
        <v>11</v>
      </c>
      <c r="D39" s="26">
        <v>0.8</v>
      </c>
      <c r="E39" s="26">
        <v>1</v>
      </c>
      <c r="F39" s="23">
        <f>Demand_Profile[[#This Row],[IND]]+Demand_Profile[[#This Row],[RES]]</f>
        <v>1.8</v>
      </c>
    </row>
    <row r="40" spans="1:6" x14ac:dyDescent="0.2">
      <c r="A40" t="s">
        <v>84</v>
      </c>
      <c r="B40">
        <v>2</v>
      </c>
      <c r="C40">
        <v>12</v>
      </c>
      <c r="D40" s="26">
        <v>0.8</v>
      </c>
      <c r="E40" s="26">
        <v>1</v>
      </c>
      <c r="F40" s="23">
        <f>Demand_Profile[[#This Row],[IND]]+Demand_Profile[[#This Row],[RES]]</f>
        <v>1.8</v>
      </c>
    </row>
    <row r="41" spans="1:6" x14ac:dyDescent="0.2">
      <c r="A41" t="s">
        <v>84</v>
      </c>
      <c r="B41">
        <v>2</v>
      </c>
      <c r="C41">
        <v>13</v>
      </c>
      <c r="D41" s="26">
        <v>0.8</v>
      </c>
      <c r="E41" s="26">
        <v>1</v>
      </c>
      <c r="F41" s="23">
        <f>Demand_Profile[[#This Row],[IND]]+Demand_Profile[[#This Row],[RES]]</f>
        <v>1.8</v>
      </c>
    </row>
    <row r="42" spans="1:6" x14ac:dyDescent="0.2">
      <c r="A42" t="s">
        <v>84</v>
      </c>
      <c r="B42">
        <v>2</v>
      </c>
      <c r="C42">
        <v>14</v>
      </c>
      <c r="D42" s="26">
        <v>0.8</v>
      </c>
      <c r="E42" s="26">
        <v>1</v>
      </c>
      <c r="F42" s="23">
        <f>Demand_Profile[[#This Row],[IND]]+Demand_Profile[[#This Row],[RES]]</f>
        <v>1.8</v>
      </c>
    </row>
    <row r="43" spans="1:6" x14ac:dyDescent="0.2">
      <c r="A43" t="s">
        <v>84</v>
      </c>
      <c r="B43">
        <v>2</v>
      </c>
      <c r="C43">
        <v>15</v>
      </c>
      <c r="D43" s="26">
        <v>0.8</v>
      </c>
      <c r="E43" s="26">
        <v>1</v>
      </c>
      <c r="F43" s="23">
        <f>Demand_Profile[[#This Row],[IND]]+Demand_Profile[[#This Row],[RES]]</f>
        <v>1.8</v>
      </c>
    </row>
    <row r="44" spans="1:6" x14ac:dyDescent="0.2">
      <c r="A44" t="s">
        <v>84</v>
      </c>
      <c r="B44">
        <v>2</v>
      </c>
      <c r="C44">
        <v>16</v>
      </c>
      <c r="D44" s="26">
        <v>0.8</v>
      </c>
      <c r="E44" s="26">
        <v>1</v>
      </c>
      <c r="F44" s="23">
        <f>Demand_Profile[[#This Row],[IND]]+Demand_Profile[[#This Row],[RES]]</f>
        <v>1.8</v>
      </c>
    </row>
    <row r="45" spans="1:6" x14ac:dyDescent="0.2">
      <c r="A45" t="s">
        <v>84</v>
      </c>
      <c r="B45">
        <v>2</v>
      </c>
      <c r="C45">
        <v>17</v>
      </c>
      <c r="D45" s="26">
        <v>0.8</v>
      </c>
      <c r="E45" s="26">
        <v>1</v>
      </c>
      <c r="F45" s="23">
        <f>Demand_Profile[[#This Row],[IND]]+Demand_Profile[[#This Row],[RES]]</f>
        <v>1.8</v>
      </c>
    </row>
    <row r="46" spans="1:6" x14ac:dyDescent="0.2">
      <c r="A46" t="s">
        <v>84</v>
      </c>
      <c r="B46">
        <v>2</v>
      </c>
      <c r="C46">
        <v>18</v>
      </c>
      <c r="D46" s="26">
        <v>1.5</v>
      </c>
      <c r="E46" s="26">
        <v>0.1</v>
      </c>
      <c r="F46" s="23">
        <f>Demand_Profile[[#This Row],[IND]]+Demand_Profile[[#This Row],[RES]]</f>
        <v>1.6</v>
      </c>
    </row>
    <row r="47" spans="1:6" x14ac:dyDescent="0.2">
      <c r="A47" t="s">
        <v>84</v>
      </c>
      <c r="B47">
        <v>2</v>
      </c>
      <c r="C47">
        <v>19</v>
      </c>
      <c r="D47" s="26">
        <v>1.5</v>
      </c>
      <c r="E47" s="26">
        <v>0.1</v>
      </c>
      <c r="F47" s="23">
        <f>Demand_Profile[[#This Row],[IND]]+Demand_Profile[[#This Row],[RES]]</f>
        <v>1.6</v>
      </c>
    </row>
    <row r="48" spans="1:6" x14ac:dyDescent="0.2">
      <c r="A48" t="s">
        <v>84</v>
      </c>
      <c r="B48">
        <v>2</v>
      </c>
      <c r="C48">
        <v>20</v>
      </c>
      <c r="D48" s="26">
        <v>1.5</v>
      </c>
      <c r="E48" s="26">
        <v>0.1</v>
      </c>
      <c r="F48" s="23">
        <f>Demand_Profile[[#This Row],[IND]]+Demand_Profile[[#This Row],[RES]]</f>
        <v>1.6</v>
      </c>
    </row>
    <row r="49" spans="1:6" x14ac:dyDescent="0.2">
      <c r="A49" t="s">
        <v>84</v>
      </c>
      <c r="B49">
        <v>2</v>
      </c>
      <c r="C49">
        <v>21</v>
      </c>
      <c r="D49" s="26">
        <v>0.8</v>
      </c>
      <c r="E49" s="26">
        <v>0.1</v>
      </c>
      <c r="F49" s="23">
        <f>Demand_Profile[[#This Row],[IND]]+Demand_Profile[[#This Row],[RES]]</f>
        <v>0.9</v>
      </c>
    </row>
    <row r="50" spans="1:6" x14ac:dyDescent="0.2">
      <c r="A50" t="s">
        <v>84</v>
      </c>
      <c r="B50">
        <v>2</v>
      </c>
      <c r="C50">
        <v>22</v>
      </c>
      <c r="D50" s="26">
        <v>0.8</v>
      </c>
      <c r="E50" s="26">
        <v>0.1</v>
      </c>
      <c r="F50" s="23">
        <f>Demand_Profile[[#This Row],[IND]]+Demand_Profile[[#This Row],[RES]]</f>
        <v>0.9</v>
      </c>
    </row>
    <row r="51" spans="1:6" x14ac:dyDescent="0.2">
      <c r="A51" t="s">
        <v>84</v>
      </c>
      <c r="B51">
        <v>2</v>
      </c>
      <c r="C51">
        <v>23</v>
      </c>
      <c r="D51" s="26">
        <v>0.8</v>
      </c>
      <c r="E51" s="26">
        <v>0.1</v>
      </c>
      <c r="F51" s="23">
        <f>Demand_Profile[[#This Row],[IND]]+Demand_Profile[[#This Row],[RES]]</f>
        <v>0.9</v>
      </c>
    </row>
    <row r="52" spans="1:6" x14ac:dyDescent="0.2">
      <c r="A52" t="s">
        <v>85</v>
      </c>
      <c r="B52">
        <v>3</v>
      </c>
      <c r="C52">
        <v>0</v>
      </c>
      <c r="D52" s="26">
        <v>0.8</v>
      </c>
      <c r="E52" s="26">
        <v>0.1</v>
      </c>
      <c r="F52" s="23">
        <f>Demand_Profile[[#This Row],[IND]]+Demand_Profile[[#This Row],[RES]]</f>
        <v>0.9</v>
      </c>
    </row>
    <row r="53" spans="1:6" x14ac:dyDescent="0.2">
      <c r="A53" t="s">
        <v>85</v>
      </c>
      <c r="B53">
        <v>3</v>
      </c>
      <c r="C53">
        <v>1</v>
      </c>
      <c r="D53" s="26">
        <v>0.8</v>
      </c>
      <c r="E53" s="26">
        <v>0.1</v>
      </c>
      <c r="F53" s="23">
        <f>Demand_Profile[[#This Row],[IND]]+Demand_Profile[[#This Row],[RES]]</f>
        <v>0.9</v>
      </c>
    </row>
    <row r="54" spans="1:6" x14ac:dyDescent="0.2">
      <c r="A54" t="s">
        <v>85</v>
      </c>
      <c r="B54">
        <v>3</v>
      </c>
      <c r="C54">
        <v>2</v>
      </c>
      <c r="D54" s="26">
        <v>0.8</v>
      </c>
      <c r="E54" s="26">
        <v>0.1</v>
      </c>
      <c r="F54" s="23">
        <f>Demand_Profile[[#This Row],[IND]]+Demand_Profile[[#This Row],[RES]]</f>
        <v>0.9</v>
      </c>
    </row>
    <row r="55" spans="1:6" x14ac:dyDescent="0.2">
      <c r="A55" t="s">
        <v>85</v>
      </c>
      <c r="B55">
        <v>3</v>
      </c>
      <c r="C55">
        <v>3</v>
      </c>
      <c r="D55" s="26">
        <v>0.8</v>
      </c>
      <c r="E55" s="26">
        <v>0.1</v>
      </c>
      <c r="F55" s="23">
        <f>Demand_Profile[[#This Row],[IND]]+Demand_Profile[[#This Row],[RES]]</f>
        <v>0.9</v>
      </c>
    </row>
    <row r="56" spans="1:6" x14ac:dyDescent="0.2">
      <c r="A56" t="s">
        <v>85</v>
      </c>
      <c r="B56">
        <v>3</v>
      </c>
      <c r="C56">
        <v>4</v>
      </c>
      <c r="D56" s="26">
        <v>0.8</v>
      </c>
      <c r="E56" s="26">
        <v>0.1</v>
      </c>
      <c r="F56" s="23">
        <f>Demand_Profile[[#This Row],[IND]]+Demand_Profile[[#This Row],[RES]]</f>
        <v>0.9</v>
      </c>
    </row>
    <row r="57" spans="1:6" x14ac:dyDescent="0.2">
      <c r="A57" t="s">
        <v>85</v>
      </c>
      <c r="B57">
        <v>3</v>
      </c>
      <c r="C57">
        <v>5</v>
      </c>
      <c r="D57" s="26">
        <v>0.8</v>
      </c>
      <c r="E57" s="26">
        <v>0.1</v>
      </c>
      <c r="F57" s="23">
        <f>Demand_Profile[[#This Row],[IND]]+Demand_Profile[[#This Row],[RES]]</f>
        <v>0.9</v>
      </c>
    </row>
    <row r="58" spans="1:6" x14ac:dyDescent="0.2">
      <c r="A58" t="s">
        <v>85</v>
      </c>
      <c r="B58">
        <v>3</v>
      </c>
      <c r="C58">
        <v>6</v>
      </c>
      <c r="D58" s="26">
        <v>0.8</v>
      </c>
      <c r="E58" s="26">
        <v>0.1</v>
      </c>
      <c r="F58" s="23">
        <f>Demand_Profile[[#This Row],[IND]]+Demand_Profile[[#This Row],[RES]]</f>
        <v>0.9</v>
      </c>
    </row>
    <row r="59" spans="1:6" x14ac:dyDescent="0.2">
      <c r="A59" t="s">
        <v>85</v>
      </c>
      <c r="B59">
        <v>3</v>
      </c>
      <c r="C59">
        <v>7</v>
      </c>
      <c r="D59" s="26">
        <v>1.1000000000000001</v>
      </c>
      <c r="E59" s="26">
        <v>0.1</v>
      </c>
      <c r="F59" s="23">
        <f>Demand_Profile[[#This Row],[IND]]+Demand_Profile[[#This Row],[RES]]</f>
        <v>1.2000000000000002</v>
      </c>
    </row>
    <row r="60" spans="1:6" x14ac:dyDescent="0.2">
      <c r="A60" t="s">
        <v>85</v>
      </c>
      <c r="B60">
        <v>3</v>
      </c>
      <c r="C60">
        <v>8</v>
      </c>
      <c r="D60" s="26">
        <v>1.1000000000000001</v>
      </c>
      <c r="E60" s="26">
        <v>1</v>
      </c>
      <c r="F60" s="23">
        <f>Demand_Profile[[#This Row],[IND]]+Demand_Profile[[#This Row],[RES]]</f>
        <v>2.1</v>
      </c>
    </row>
    <row r="61" spans="1:6" x14ac:dyDescent="0.2">
      <c r="A61" t="s">
        <v>85</v>
      </c>
      <c r="B61">
        <v>3</v>
      </c>
      <c r="C61">
        <v>9</v>
      </c>
      <c r="D61" s="26">
        <v>0.8</v>
      </c>
      <c r="E61" s="26">
        <v>1</v>
      </c>
      <c r="F61" s="23">
        <f>Demand_Profile[[#This Row],[IND]]+Demand_Profile[[#This Row],[RES]]</f>
        <v>1.8</v>
      </c>
    </row>
    <row r="62" spans="1:6" x14ac:dyDescent="0.2">
      <c r="A62" t="s">
        <v>85</v>
      </c>
      <c r="B62">
        <v>3</v>
      </c>
      <c r="C62">
        <v>10</v>
      </c>
      <c r="D62" s="26">
        <v>0.8</v>
      </c>
      <c r="E62" s="26">
        <v>1</v>
      </c>
      <c r="F62" s="23">
        <f>Demand_Profile[[#This Row],[IND]]+Demand_Profile[[#This Row],[RES]]</f>
        <v>1.8</v>
      </c>
    </row>
    <row r="63" spans="1:6" x14ac:dyDescent="0.2">
      <c r="A63" t="s">
        <v>85</v>
      </c>
      <c r="B63">
        <v>3</v>
      </c>
      <c r="C63">
        <v>11</v>
      </c>
      <c r="D63" s="26">
        <v>0.8</v>
      </c>
      <c r="E63" s="26">
        <v>1</v>
      </c>
      <c r="F63" s="23">
        <f>Demand_Profile[[#This Row],[IND]]+Demand_Profile[[#This Row],[RES]]</f>
        <v>1.8</v>
      </c>
    </row>
    <row r="64" spans="1:6" x14ac:dyDescent="0.2">
      <c r="A64" t="s">
        <v>85</v>
      </c>
      <c r="B64">
        <v>3</v>
      </c>
      <c r="C64">
        <v>12</v>
      </c>
      <c r="D64" s="26">
        <v>0.8</v>
      </c>
      <c r="E64" s="26">
        <v>1</v>
      </c>
      <c r="F64" s="23">
        <f>Demand_Profile[[#This Row],[IND]]+Demand_Profile[[#This Row],[RES]]</f>
        <v>1.8</v>
      </c>
    </row>
    <row r="65" spans="1:6" x14ac:dyDescent="0.2">
      <c r="A65" t="s">
        <v>85</v>
      </c>
      <c r="B65">
        <v>3</v>
      </c>
      <c r="C65">
        <v>13</v>
      </c>
      <c r="D65" s="26">
        <v>0.8</v>
      </c>
      <c r="E65" s="26">
        <v>1</v>
      </c>
      <c r="F65" s="23">
        <f>Demand_Profile[[#This Row],[IND]]+Demand_Profile[[#This Row],[RES]]</f>
        <v>1.8</v>
      </c>
    </row>
    <row r="66" spans="1:6" x14ac:dyDescent="0.2">
      <c r="A66" t="s">
        <v>85</v>
      </c>
      <c r="B66">
        <v>3</v>
      </c>
      <c r="C66">
        <v>14</v>
      </c>
      <c r="D66" s="26">
        <v>0.8</v>
      </c>
      <c r="E66" s="26">
        <v>1</v>
      </c>
      <c r="F66" s="23">
        <f>Demand_Profile[[#This Row],[IND]]+Demand_Profile[[#This Row],[RES]]</f>
        <v>1.8</v>
      </c>
    </row>
    <row r="67" spans="1:6" x14ac:dyDescent="0.2">
      <c r="A67" t="s">
        <v>85</v>
      </c>
      <c r="B67">
        <v>3</v>
      </c>
      <c r="C67">
        <v>15</v>
      </c>
      <c r="D67" s="26">
        <v>0.8</v>
      </c>
      <c r="E67" s="26">
        <v>1</v>
      </c>
      <c r="F67" s="23">
        <f>Demand_Profile[[#This Row],[IND]]+Demand_Profile[[#This Row],[RES]]</f>
        <v>1.8</v>
      </c>
    </row>
    <row r="68" spans="1:6" x14ac:dyDescent="0.2">
      <c r="A68" t="s">
        <v>85</v>
      </c>
      <c r="B68">
        <v>3</v>
      </c>
      <c r="C68">
        <v>16</v>
      </c>
      <c r="D68" s="26">
        <v>0.8</v>
      </c>
      <c r="E68" s="26">
        <v>1</v>
      </c>
      <c r="F68" s="23">
        <f>Demand_Profile[[#This Row],[IND]]+Demand_Profile[[#This Row],[RES]]</f>
        <v>1.8</v>
      </c>
    </row>
    <row r="69" spans="1:6" x14ac:dyDescent="0.2">
      <c r="A69" t="s">
        <v>85</v>
      </c>
      <c r="B69">
        <v>3</v>
      </c>
      <c r="C69">
        <v>17</v>
      </c>
      <c r="D69" s="26">
        <v>0.8</v>
      </c>
      <c r="E69" s="26">
        <v>1</v>
      </c>
      <c r="F69" s="23">
        <f>Demand_Profile[[#This Row],[IND]]+Demand_Profile[[#This Row],[RES]]</f>
        <v>1.8</v>
      </c>
    </row>
    <row r="70" spans="1:6" x14ac:dyDescent="0.2">
      <c r="A70" t="s">
        <v>85</v>
      </c>
      <c r="B70">
        <v>3</v>
      </c>
      <c r="C70">
        <v>18</v>
      </c>
      <c r="D70" s="26">
        <v>1.5</v>
      </c>
      <c r="E70" s="26">
        <v>0.1</v>
      </c>
      <c r="F70" s="23">
        <f>Demand_Profile[[#This Row],[IND]]+Demand_Profile[[#This Row],[RES]]</f>
        <v>1.6</v>
      </c>
    </row>
    <row r="71" spans="1:6" x14ac:dyDescent="0.2">
      <c r="A71" t="s">
        <v>85</v>
      </c>
      <c r="B71">
        <v>3</v>
      </c>
      <c r="C71">
        <v>19</v>
      </c>
      <c r="D71" s="26">
        <v>1.5</v>
      </c>
      <c r="E71" s="26">
        <v>0.1</v>
      </c>
      <c r="F71" s="23">
        <f>Demand_Profile[[#This Row],[IND]]+Demand_Profile[[#This Row],[RES]]</f>
        <v>1.6</v>
      </c>
    </row>
    <row r="72" spans="1:6" x14ac:dyDescent="0.2">
      <c r="A72" t="s">
        <v>85</v>
      </c>
      <c r="B72">
        <v>3</v>
      </c>
      <c r="C72">
        <v>20</v>
      </c>
      <c r="D72" s="26">
        <v>1.5</v>
      </c>
      <c r="E72" s="26">
        <v>0.1</v>
      </c>
      <c r="F72" s="23">
        <f>Demand_Profile[[#This Row],[IND]]+Demand_Profile[[#This Row],[RES]]</f>
        <v>1.6</v>
      </c>
    </row>
    <row r="73" spans="1:6" x14ac:dyDescent="0.2">
      <c r="A73" t="s">
        <v>85</v>
      </c>
      <c r="B73">
        <v>3</v>
      </c>
      <c r="C73">
        <v>21</v>
      </c>
      <c r="D73" s="26">
        <v>0.8</v>
      </c>
      <c r="E73" s="26">
        <v>0.1</v>
      </c>
      <c r="F73" s="23">
        <f>Demand_Profile[[#This Row],[IND]]+Demand_Profile[[#This Row],[RES]]</f>
        <v>0.9</v>
      </c>
    </row>
    <row r="74" spans="1:6" x14ac:dyDescent="0.2">
      <c r="A74" t="s">
        <v>85</v>
      </c>
      <c r="B74">
        <v>3</v>
      </c>
      <c r="C74">
        <v>22</v>
      </c>
      <c r="D74" s="26">
        <v>0.8</v>
      </c>
      <c r="E74" s="26">
        <v>0.1</v>
      </c>
      <c r="F74" s="23">
        <f>Demand_Profile[[#This Row],[IND]]+Demand_Profile[[#This Row],[RES]]</f>
        <v>0.9</v>
      </c>
    </row>
    <row r="75" spans="1:6" x14ac:dyDescent="0.2">
      <c r="A75" t="s">
        <v>85</v>
      </c>
      <c r="B75">
        <v>3</v>
      </c>
      <c r="C75">
        <v>23</v>
      </c>
      <c r="D75" s="26">
        <v>0.8</v>
      </c>
      <c r="E75" s="26">
        <v>0.1</v>
      </c>
      <c r="F75" s="23">
        <f>Demand_Profile[[#This Row],[IND]]+Demand_Profile[[#This Row],[RES]]</f>
        <v>0.9</v>
      </c>
    </row>
    <row r="76" spans="1:6" x14ac:dyDescent="0.2">
      <c r="A76" t="s">
        <v>86</v>
      </c>
      <c r="B76">
        <v>4</v>
      </c>
      <c r="C76">
        <v>0</v>
      </c>
      <c r="D76" s="26">
        <v>0.8</v>
      </c>
      <c r="E76" s="26">
        <v>0.1</v>
      </c>
      <c r="F76" s="23">
        <f>Demand_Profile[[#This Row],[IND]]+Demand_Profile[[#This Row],[RES]]</f>
        <v>0.9</v>
      </c>
    </row>
    <row r="77" spans="1:6" x14ac:dyDescent="0.2">
      <c r="A77" t="s">
        <v>86</v>
      </c>
      <c r="B77">
        <v>4</v>
      </c>
      <c r="C77">
        <v>1</v>
      </c>
      <c r="D77" s="26">
        <v>0.8</v>
      </c>
      <c r="E77" s="26">
        <v>0.1</v>
      </c>
      <c r="F77" s="23">
        <f>Demand_Profile[[#This Row],[IND]]+Demand_Profile[[#This Row],[RES]]</f>
        <v>0.9</v>
      </c>
    </row>
    <row r="78" spans="1:6" x14ac:dyDescent="0.2">
      <c r="A78" t="s">
        <v>86</v>
      </c>
      <c r="B78">
        <v>4</v>
      </c>
      <c r="C78">
        <v>2</v>
      </c>
      <c r="D78" s="26">
        <v>0.8</v>
      </c>
      <c r="E78" s="26">
        <v>0.1</v>
      </c>
      <c r="F78" s="23">
        <f>Demand_Profile[[#This Row],[IND]]+Demand_Profile[[#This Row],[RES]]</f>
        <v>0.9</v>
      </c>
    </row>
    <row r="79" spans="1:6" x14ac:dyDescent="0.2">
      <c r="A79" t="s">
        <v>86</v>
      </c>
      <c r="B79">
        <v>4</v>
      </c>
      <c r="C79">
        <v>3</v>
      </c>
      <c r="D79" s="26">
        <v>0.8</v>
      </c>
      <c r="E79" s="26">
        <v>0.1</v>
      </c>
      <c r="F79" s="23">
        <f>Demand_Profile[[#This Row],[IND]]+Demand_Profile[[#This Row],[RES]]</f>
        <v>0.9</v>
      </c>
    </row>
    <row r="80" spans="1:6" x14ac:dyDescent="0.2">
      <c r="A80" t="s">
        <v>86</v>
      </c>
      <c r="B80">
        <v>4</v>
      </c>
      <c r="C80">
        <v>4</v>
      </c>
      <c r="D80" s="26">
        <v>0.8</v>
      </c>
      <c r="E80" s="26">
        <v>0.1</v>
      </c>
      <c r="F80" s="23">
        <f>Demand_Profile[[#This Row],[IND]]+Demand_Profile[[#This Row],[RES]]</f>
        <v>0.9</v>
      </c>
    </row>
    <row r="81" spans="1:6" x14ac:dyDescent="0.2">
      <c r="A81" t="s">
        <v>86</v>
      </c>
      <c r="B81">
        <v>4</v>
      </c>
      <c r="C81">
        <v>5</v>
      </c>
      <c r="D81" s="26">
        <v>0.8</v>
      </c>
      <c r="E81" s="26">
        <v>0.1</v>
      </c>
      <c r="F81" s="23">
        <f>Demand_Profile[[#This Row],[IND]]+Demand_Profile[[#This Row],[RES]]</f>
        <v>0.9</v>
      </c>
    </row>
    <row r="82" spans="1:6" x14ac:dyDescent="0.2">
      <c r="A82" t="s">
        <v>86</v>
      </c>
      <c r="B82">
        <v>4</v>
      </c>
      <c r="C82">
        <v>6</v>
      </c>
      <c r="D82" s="26">
        <v>0.8</v>
      </c>
      <c r="E82" s="26">
        <v>0.1</v>
      </c>
      <c r="F82" s="23">
        <f>Demand_Profile[[#This Row],[IND]]+Demand_Profile[[#This Row],[RES]]</f>
        <v>0.9</v>
      </c>
    </row>
    <row r="83" spans="1:6" x14ac:dyDescent="0.2">
      <c r="A83" t="s">
        <v>86</v>
      </c>
      <c r="B83">
        <v>4</v>
      </c>
      <c r="C83">
        <v>7</v>
      </c>
      <c r="D83" s="26">
        <v>1.1000000000000001</v>
      </c>
      <c r="E83" s="26">
        <v>0.1</v>
      </c>
      <c r="F83" s="23">
        <f>Demand_Profile[[#This Row],[IND]]+Demand_Profile[[#This Row],[RES]]</f>
        <v>1.2000000000000002</v>
      </c>
    </row>
    <row r="84" spans="1:6" x14ac:dyDescent="0.2">
      <c r="A84" t="s">
        <v>86</v>
      </c>
      <c r="B84">
        <v>4</v>
      </c>
      <c r="C84">
        <v>8</v>
      </c>
      <c r="D84" s="26">
        <v>1.1000000000000001</v>
      </c>
      <c r="E84" s="26">
        <v>1</v>
      </c>
      <c r="F84" s="23">
        <f>Demand_Profile[[#This Row],[IND]]+Demand_Profile[[#This Row],[RES]]</f>
        <v>2.1</v>
      </c>
    </row>
    <row r="85" spans="1:6" x14ac:dyDescent="0.2">
      <c r="A85" t="s">
        <v>86</v>
      </c>
      <c r="B85">
        <v>4</v>
      </c>
      <c r="C85">
        <v>9</v>
      </c>
      <c r="D85" s="26">
        <v>0.8</v>
      </c>
      <c r="E85" s="26">
        <v>1</v>
      </c>
      <c r="F85" s="23">
        <f>Demand_Profile[[#This Row],[IND]]+Demand_Profile[[#This Row],[RES]]</f>
        <v>1.8</v>
      </c>
    </row>
    <row r="86" spans="1:6" x14ac:dyDescent="0.2">
      <c r="A86" t="s">
        <v>86</v>
      </c>
      <c r="B86">
        <v>4</v>
      </c>
      <c r="C86">
        <v>10</v>
      </c>
      <c r="D86" s="26">
        <v>0.8</v>
      </c>
      <c r="E86" s="26">
        <v>1</v>
      </c>
      <c r="F86" s="23">
        <f>Demand_Profile[[#This Row],[IND]]+Demand_Profile[[#This Row],[RES]]</f>
        <v>1.8</v>
      </c>
    </row>
    <row r="87" spans="1:6" x14ac:dyDescent="0.2">
      <c r="A87" t="s">
        <v>86</v>
      </c>
      <c r="B87">
        <v>4</v>
      </c>
      <c r="C87">
        <v>11</v>
      </c>
      <c r="D87" s="26">
        <v>0.8</v>
      </c>
      <c r="E87" s="26">
        <v>1</v>
      </c>
      <c r="F87" s="23">
        <f>Demand_Profile[[#This Row],[IND]]+Demand_Profile[[#This Row],[RES]]</f>
        <v>1.8</v>
      </c>
    </row>
    <row r="88" spans="1:6" x14ac:dyDescent="0.2">
      <c r="A88" t="s">
        <v>86</v>
      </c>
      <c r="B88">
        <v>4</v>
      </c>
      <c r="C88">
        <v>12</v>
      </c>
      <c r="D88" s="26">
        <v>0.8</v>
      </c>
      <c r="E88" s="26">
        <v>1</v>
      </c>
      <c r="F88" s="23">
        <f>Demand_Profile[[#This Row],[IND]]+Demand_Profile[[#This Row],[RES]]</f>
        <v>1.8</v>
      </c>
    </row>
    <row r="89" spans="1:6" x14ac:dyDescent="0.2">
      <c r="A89" t="s">
        <v>86</v>
      </c>
      <c r="B89">
        <v>4</v>
      </c>
      <c r="C89">
        <v>13</v>
      </c>
      <c r="D89" s="26">
        <v>0.8</v>
      </c>
      <c r="E89" s="26">
        <v>1</v>
      </c>
      <c r="F89" s="23">
        <f>Demand_Profile[[#This Row],[IND]]+Demand_Profile[[#This Row],[RES]]</f>
        <v>1.8</v>
      </c>
    </row>
    <row r="90" spans="1:6" x14ac:dyDescent="0.2">
      <c r="A90" t="s">
        <v>86</v>
      </c>
      <c r="B90">
        <v>4</v>
      </c>
      <c r="C90">
        <v>14</v>
      </c>
      <c r="D90" s="26">
        <v>0.8</v>
      </c>
      <c r="E90" s="26">
        <v>1</v>
      </c>
      <c r="F90" s="23">
        <f>Demand_Profile[[#This Row],[IND]]+Demand_Profile[[#This Row],[RES]]</f>
        <v>1.8</v>
      </c>
    </row>
    <row r="91" spans="1:6" x14ac:dyDescent="0.2">
      <c r="A91" t="s">
        <v>86</v>
      </c>
      <c r="B91">
        <v>4</v>
      </c>
      <c r="C91">
        <v>15</v>
      </c>
      <c r="D91" s="26">
        <v>0.8</v>
      </c>
      <c r="E91" s="26">
        <v>1</v>
      </c>
      <c r="F91" s="23">
        <f>Demand_Profile[[#This Row],[IND]]+Demand_Profile[[#This Row],[RES]]</f>
        <v>1.8</v>
      </c>
    </row>
    <row r="92" spans="1:6" x14ac:dyDescent="0.2">
      <c r="A92" t="s">
        <v>86</v>
      </c>
      <c r="B92">
        <v>4</v>
      </c>
      <c r="C92">
        <v>16</v>
      </c>
      <c r="D92" s="26">
        <v>0.8</v>
      </c>
      <c r="E92" s="26">
        <v>1</v>
      </c>
      <c r="F92" s="23">
        <f>Demand_Profile[[#This Row],[IND]]+Demand_Profile[[#This Row],[RES]]</f>
        <v>1.8</v>
      </c>
    </row>
    <row r="93" spans="1:6" x14ac:dyDescent="0.2">
      <c r="A93" t="s">
        <v>86</v>
      </c>
      <c r="B93">
        <v>4</v>
      </c>
      <c r="C93">
        <v>17</v>
      </c>
      <c r="D93" s="26">
        <v>0.8</v>
      </c>
      <c r="E93" s="26">
        <v>1</v>
      </c>
      <c r="F93" s="23">
        <f>Demand_Profile[[#This Row],[IND]]+Demand_Profile[[#This Row],[RES]]</f>
        <v>1.8</v>
      </c>
    </row>
    <row r="94" spans="1:6" x14ac:dyDescent="0.2">
      <c r="A94" t="s">
        <v>86</v>
      </c>
      <c r="B94">
        <v>4</v>
      </c>
      <c r="C94">
        <v>18</v>
      </c>
      <c r="D94" s="26">
        <v>1.5</v>
      </c>
      <c r="E94" s="26">
        <v>0.1</v>
      </c>
      <c r="F94" s="23">
        <f>Demand_Profile[[#This Row],[IND]]+Demand_Profile[[#This Row],[RES]]</f>
        <v>1.6</v>
      </c>
    </row>
    <row r="95" spans="1:6" x14ac:dyDescent="0.2">
      <c r="A95" t="s">
        <v>86</v>
      </c>
      <c r="B95">
        <v>4</v>
      </c>
      <c r="C95">
        <v>19</v>
      </c>
      <c r="D95" s="26">
        <v>1.5</v>
      </c>
      <c r="E95" s="26">
        <v>0.1</v>
      </c>
      <c r="F95" s="23">
        <f>Demand_Profile[[#This Row],[IND]]+Demand_Profile[[#This Row],[RES]]</f>
        <v>1.6</v>
      </c>
    </row>
    <row r="96" spans="1:6" x14ac:dyDescent="0.2">
      <c r="A96" t="s">
        <v>86</v>
      </c>
      <c r="B96">
        <v>4</v>
      </c>
      <c r="C96">
        <v>20</v>
      </c>
      <c r="D96" s="26">
        <v>1.5</v>
      </c>
      <c r="E96" s="26">
        <v>0.1</v>
      </c>
      <c r="F96" s="23">
        <f>Demand_Profile[[#This Row],[IND]]+Demand_Profile[[#This Row],[RES]]</f>
        <v>1.6</v>
      </c>
    </row>
    <row r="97" spans="1:6" x14ac:dyDescent="0.2">
      <c r="A97" t="s">
        <v>86</v>
      </c>
      <c r="B97">
        <v>4</v>
      </c>
      <c r="C97">
        <v>21</v>
      </c>
      <c r="D97" s="26">
        <v>0.8</v>
      </c>
      <c r="E97" s="26">
        <v>0.1</v>
      </c>
      <c r="F97" s="23">
        <f>Demand_Profile[[#This Row],[IND]]+Demand_Profile[[#This Row],[RES]]</f>
        <v>0.9</v>
      </c>
    </row>
    <row r="98" spans="1:6" x14ac:dyDescent="0.2">
      <c r="A98" t="s">
        <v>86</v>
      </c>
      <c r="B98">
        <v>4</v>
      </c>
      <c r="C98">
        <v>22</v>
      </c>
      <c r="D98" s="26">
        <v>0.8</v>
      </c>
      <c r="E98" s="26">
        <v>0.1</v>
      </c>
      <c r="F98" s="23">
        <f>Demand_Profile[[#This Row],[IND]]+Demand_Profile[[#This Row],[RES]]</f>
        <v>0.9</v>
      </c>
    </row>
    <row r="99" spans="1:6" x14ac:dyDescent="0.2">
      <c r="A99" t="s">
        <v>86</v>
      </c>
      <c r="B99">
        <v>4</v>
      </c>
      <c r="C99">
        <v>23</v>
      </c>
      <c r="D99" s="26">
        <v>0.8</v>
      </c>
      <c r="E99" s="26">
        <v>0.1</v>
      </c>
      <c r="F99" s="23">
        <f>Demand_Profile[[#This Row],[IND]]+Demand_Profile[[#This Row],[RES]]</f>
        <v>0.9</v>
      </c>
    </row>
    <row r="100" spans="1:6" x14ac:dyDescent="0.2">
      <c r="A100" t="s">
        <v>87</v>
      </c>
      <c r="B100">
        <v>5</v>
      </c>
      <c r="C100">
        <v>0</v>
      </c>
      <c r="D100" s="26">
        <v>0.8</v>
      </c>
      <c r="E100" s="26">
        <v>0.1</v>
      </c>
      <c r="F100" s="23">
        <f>Demand_Profile[[#This Row],[IND]]+Demand_Profile[[#This Row],[RES]]</f>
        <v>0.9</v>
      </c>
    </row>
    <row r="101" spans="1:6" x14ac:dyDescent="0.2">
      <c r="A101" t="s">
        <v>87</v>
      </c>
      <c r="B101">
        <v>5</v>
      </c>
      <c r="C101">
        <v>1</v>
      </c>
      <c r="D101" s="26">
        <v>0.8</v>
      </c>
      <c r="E101" s="26">
        <v>0.1</v>
      </c>
      <c r="F101" s="23">
        <f>Demand_Profile[[#This Row],[IND]]+Demand_Profile[[#This Row],[RES]]</f>
        <v>0.9</v>
      </c>
    </row>
    <row r="102" spans="1:6" x14ac:dyDescent="0.2">
      <c r="A102" t="s">
        <v>87</v>
      </c>
      <c r="B102">
        <v>5</v>
      </c>
      <c r="C102">
        <v>2</v>
      </c>
      <c r="D102" s="26">
        <v>0.8</v>
      </c>
      <c r="E102" s="26">
        <v>0.1</v>
      </c>
      <c r="F102" s="23">
        <f>Demand_Profile[[#This Row],[IND]]+Demand_Profile[[#This Row],[RES]]</f>
        <v>0.9</v>
      </c>
    </row>
    <row r="103" spans="1:6" x14ac:dyDescent="0.2">
      <c r="A103" t="s">
        <v>87</v>
      </c>
      <c r="B103">
        <v>5</v>
      </c>
      <c r="C103">
        <v>3</v>
      </c>
      <c r="D103" s="26">
        <v>0.8</v>
      </c>
      <c r="E103" s="26">
        <v>0.1</v>
      </c>
      <c r="F103" s="23">
        <f>Demand_Profile[[#This Row],[IND]]+Demand_Profile[[#This Row],[RES]]</f>
        <v>0.9</v>
      </c>
    </row>
    <row r="104" spans="1:6" x14ac:dyDescent="0.2">
      <c r="A104" t="s">
        <v>87</v>
      </c>
      <c r="B104">
        <v>5</v>
      </c>
      <c r="C104">
        <v>4</v>
      </c>
      <c r="D104" s="26">
        <v>0.8</v>
      </c>
      <c r="E104" s="26">
        <v>0.1</v>
      </c>
      <c r="F104" s="23">
        <f>Demand_Profile[[#This Row],[IND]]+Demand_Profile[[#This Row],[RES]]</f>
        <v>0.9</v>
      </c>
    </row>
    <row r="105" spans="1:6" x14ac:dyDescent="0.2">
      <c r="A105" t="s">
        <v>87</v>
      </c>
      <c r="B105">
        <v>5</v>
      </c>
      <c r="C105">
        <v>5</v>
      </c>
      <c r="D105" s="26">
        <v>0.8</v>
      </c>
      <c r="E105" s="26">
        <v>0.1</v>
      </c>
      <c r="F105" s="23">
        <f>Demand_Profile[[#This Row],[IND]]+Demand_Profile[[#This Row],[RES]]</f>
        <v>0.9</v>
      </c>
    </row>
    <row r="106" spans="1:6" x14ac:dyDescent="0.2">
      <c r="A106" t="s">
        <v>87</v>
      </c>
      <c r="B106">
        <v>5</v>
      </c>
      <c r="C106">
        <v>6</v>
      </c>
      <c r="D106" s="26">
        <v>0.8</v>
      </c>
      <c r="E106" s="26">
        <v>0.1</v>
      </c>
      <c r="F106" s="23">
        <f>Demand_Profile[[#This Row],[IND]]+Demand_Profile[[#This Row],[RES]]</f>
        <v>0.9</v>
      </c>
    </row>
    <row r="107" spans="1:6" x14ac:dyDescent="0.2">
      <c r="A107" t="s">
        <v>87</v>
      </c>
      <c r="B107">
        <v>5</v>
      </c>
      <c r="C107">
        <v>7</v>
      </c>
      <c r="D107" s="26">
        <v>1.1000000000000001</v>
      </c>
      <c r="E107" s="26">
        <v>0.1</v>
      </c>
      <c r="F107" s="23">
        <f>Demand_Profile[[#This Row],[IND]]+Demand_Profile[[#This Row],[RES]]</f>
        <v>1.2000000000000002</v>
      </c>
    </row>
    <row r="108" spans="1:6" x14ac:dyDescent="0.2">
      <c r="A108" t="s">
        <v>87</v>
      </c>
      <c r="B108">
        <v>5</v>
      </c>
      <c r="C108">
        <v>8</v>
      </c>
      <c r="D108" s="26">
        <v>1.1000000000000001</v>
      </c>
      <c r="E108" s="26">
        <v>1</v>
      </c>
      <c r="F108" s="23">
        <f>Demand_Profile[[#This Row],[IND]]+Demand_Profile[[#This Row],[RES]]</f>
        <v>2.1</v>
      </c>
    </row>
    <row r="109" spans="1:6" x14ac:dyDescent="0.2">
      <c r="A109" t="s">
        <v>87</v>
      </c>
      <c r="B109">
        <v>5</v>
      </c>
      <c r="C109">
        <v>9</v>
      </c>
      <c r="D109" s="26">
        <v>0.8</v>
      </c>
      <c r="E109" s="26">
        <v>1</v>
      </c>
      <c r="F109" s="23">
        <f>Demand_Profile[[#This Row],[IND]]+Demand_Profile[[#This Row],[RES]]</f>
        <v>1.8</v>
      </c>
    </row>
    <row r="110" spans="1:6" x14ac:dyDescent="0.2">
      <c r="A110" t="s">
        <v>87</v>
      </c>
      <c r="B110">
        <v>5</v>
      </c>
      <c r="C110">
        <v>10</v>
      </c>
      <c r="D110" s="26">
        <v>0.8</v>
      </c>
      <c r="E110" s="26">
        <v>1</v>
      </c>
      <c r="F110" s="23">
        <f>Demand_Profile[[#This Row],[IND]]+Demand_Profile[[#This Row],[RES]]</f>
        <v>1.8</v>
      </c>
    </row>
    <row r="111" spans="1:6" x14ac:dyDescent="0.2">
      <c r="A111" t="s">
        <v>87</v>
      </c>
      <c r="B111">
        <v>5</v>
      </c>
      <c r="C111">
        <v>11</v>
      </c>
      <c r="D111" s="26">
        <v>0.8</v>
      </c>
      <c r="E111" s="26">
        <v>1</v>
      </c>
      <c r="F111" s="23">
        <f>Demand_Profile[[#This Row],[IND]]+Demand_Profile[[#This Row],[RES]]</f>
        <v>1.8</v>
      </c>
    </row>
    <row r="112" spans="1:6" x14ac:dyDescent="0.2">
      <c r="A112" t="s">
        <v>87</v>
      </c>
      <c r="B112">
        <v>5</v>
      </c>
      <c r="C112">
        <v>12</v>
      </c>
      <c r="D112" s="26">
        <v>0.8</v>
      </c>
      <c r="E112" s="26">
        <v>1</v>
      </c>
      <c r="F112" s="23">
        <f>Demand_Profile[[#This Row],[IND]]+Demand_Profile[[#This Row],[RES]]</f>
        <v>1.8</v>
      </c>
    </row>
    <row r="113" spans="1:6" x14ac:dyDescent="0.2">
      <c r="A113" t="s">
        <v>87</v>
      </c>
      <c r="B113">
        <v>5</v>
      </c>
      <c r="C113">
        <v>13</v>
      </c>
      <c r="D113" s="26">
        <v>0.8</v>
      </c>
      <c r="E113" s="26">
        <v>1</v>
      </c>
      <c r="F113" s="23">
        <f>Demand_Profile[[#This Row],[IND]]+Demand_Profile[[#This Row],[RES]]</f>
        <v>1.8</v>
      </c>
    </row>
    <row r="114" spans="1:6" x14ac:dyDescent="0.2">
      <c r="A114" t="s">
        <v>87</v>
      </c>
      <c r="B114">
        <v>5</v>
      </c>
      <c r="C114">
        <v>14</v>
      </c>
      <c r="D114" s="26">
        <v>0.8</v>
      </c>
      <c r="E114" s="26">
        <v>1</v>
      </c>
      <c r="F114" s="23">
        <f>Demand_Profile[[#This Row],[IND]]+Demand_Profile[[#This Row],[RES]]</f>
        <v>1.8</v>
      </c>
    </row>
    <row r="115" spans="1:6" x14ac:dyDescent="0.2">
      <c r="A115" t="s">
        <v>87</v>
      </c>
      <c r="B115">
        <v>5</v>
      </c>
      <c r="C115">
        <v>15</v>
      </c>
      <c r="D115" s="26">
        <v>0.8</v>
      </c>
      <c r="E115" s="26">
        <v>1</v>
      </c>
      <c r="F115" s="23">
        <f>Demand_Profile[[#This Row],[IND]]+Demand_Profile[[#This Row],[RES]]</f>
        <v>1.8</v>
      </c>
    </row>
    <row r="116" spans="1:6" x14ac:dyDescent="0.2">
      <c r="A116" t="s">
        <v>87</v>
      </c>
      <c r="B116">
        <v>5</v>
      </c>
      <c r="C116">
        <v>16</v>
      </c>
      <c r="D116" s="26">
        <v>0.8</v>
      </c>
      <c r="E116" s="26">
        <v>1</v>
      </c>
      <c r="F116" s="23">
        <f>Demand_Profile[[#This Row],[IND]]+Demand_Profile[[#This Row],[RES]]</f>
        <v>1.8</v>
      </c>
    </row>
    <row r="117" spans="1:6" x14ac:dyDescent="0.2">
      <c r="A117" t="s">
        <v>87</v>
      </c>
      <c r="B117">
        <v>5</v>
      </c>
      <c r="C117">
        <v>17</v>
      </c>
      <c r="D117" s="26">
        <v>0.8</v>
      </c>
      <c r="E117" s="26">
        <v>1</v>
      </c>
      <c r="F117" s="23">
        <f>Demand_Profile[[#This Row],[IND]]+Demand_Profile[[#This Row],[RES]]</f>
        <v>1.8</v>
      </c>
    </row>
    <row r="118" spans="1:6" x14ac:dyDescent="0.2">
      <c r="A118" t="s">
        <v>87</v>
      </c>
      <c r="B118">
        <v>5</v>
      </c>
      <c r="C118">
        <v>18</v>
      </c>
      <c r="D118" s="26">
        <v>1.5</v>
      </c>
      <c r="E118" s="26">
        <v>0.1</v>
      </c>
      <c r="F118" s="23">
        <f>Demand_Profile[[#This Row],[IND]]+Demand_Profile[[#This Row],[RES]]</f>
        <v>1.6</v>
      </c>
    </row>
    <row r="119" spans="1:6" x14ac:dyDescent="0.2">
      <c r="A119" t="s">
        <v>87</v>
      </c>
      <c r="B119">
        <v>5</v>
      </c>
      <c r="C119">
        <v>19</v>
      </c>
      <c r="D119" s="26">
        <v>1.5</v>
      </c>
      <c r="E119" s="26">
        <v>0.1</v>
      </c>
      <c r="F119" s="23">
        <f>Demand_Profile[[#This Row],[IND]]+Demand_Profile[[#This Row],[RES]]</f>
        <v>1.6</v>
      </c>
    </row>
    <row r="120" spans="1:6" x14ac:dyDescent="0.2">
      <c r="A120" t="s">
        <v>87</v>
      </c>
      <c r="B120">
        <v>5</v>
      </c>
      <c r="C120">
        <v>20</v>
      </c>
      <c r="D120" s="26">
        <v>1.5</v>
      </c>
      <c r="E120" s="26">
        <v>0.1</v>
      </c>
      <c r="F120" s="23">
        <f>Demand_Profile[[#This Row],[IND]]+Demand_Profile[[#This Row],[RES]]</f>
        <v>1.6</v>
      </c>
    </row>
    <row r="121" spans="1:6" x14ac:dyDescent="0.2">
      <c r="A121" t="s">
        <v>87</v>
      </c>
      <c r="B121">
        <v>5</v>
      </c>
      <c r="C121">
        <v>21</v>
      </c>
      <c r="D121" s="26">
        <v>0.8</v>
      </c>
      <c r="E121" s="26">
        <v>0.1</v>
      </c>
      <c r="F121" s="23">
        <f>Demand_Profile[[#This Row],[IND]]+Demand_Profile[[#This Row],[RES]]</f>
        <v>0.9</v>
      </c>
    </row>
    <row r="122" spans="1:6" x14ac:dyDescent="0.2">
      <c r="A122" t="s">
        <v>87</v>
      </c>
      <c r="B122">
        <v>5</v>
      </c>
      <c r="C122">
        <v>22</v>
      </c>
      <c r="D122" s="26">
        <v>0.8</v>
      </c>
      <c r="E122" s="26">
        <v>0.1</v>
      </c>
      <c r="F122" s="23">
        <f>Demand_Profile[[#This Row],[IND]]+Demand_Profile[[#This Row],[RES]]</f>
        <v>0.9</v>
      </c>
    </row>
    <row r="123" spans="1:6" x14ac:dyDescent="0.2">
      <c r="A123" t="s">
        <v>87</v>
      </c>
      <c r="B123">
        <v>5</v>
      </c>
      <c r="C123">
        <v>23</v>
      </c>
      <c r="D123" s="26">
        <v>0.8</v>
      </c>
      <c r="E123" s="26">
        <v>0.1</v>
      </c>
      <c r="F123" s="23">
        <f>Demand_Profile[[#This Row],[IND]]+Demand_Profile[[#This Row],[RES]]</f>
        <v>0.9</v>
      </c>
    </row>
    <row r="124" spans="1:6" x14ac:dyDescent="0.2">
      <c r="A124" t="s">
        <v>88</v>
      </c>
      <c r="B124">
        <v>6</v>
      </c>
      <c r="C124">
        <v>0</v>
      </c>
      <c r="D124" s="26">
        <v>0.8</v>
      </c>
      <c r="E124" s="26">
        <v>0.1</v>
      </c>
      <c r="F124" s="23">
        <f>Demand_Profile[[#This Row],[IND]]+Demand_Profile[[#This Row],[RES]]</f>
        <v>0.9</v>
      </c>
    </row>
    <row r="125" spans="1:6" x14ac:dyDescent="0.2">
      <c r="A125" t="s">
        <v>88</v>
      </c>
      <c r="B125">
        <v>6</v>
      </c>
      <c r="C125">
        <v>1</v>
      </c>
      <c r="D125" s="26">
        <v>0.8</v>
      </c>
      <c r="E125" s="26">
        <v>0.1</v>
      </c>
      <c r="F125" s="23">
        <f>Demand_Profile[[#This Row],[IND]]+Demand_Profile[[#This Row],[RES]]</f>
        <v>0.9</v>
      </c>
    </row>
    <row r="126" spans="1:6" x14ac:dyDescent="0.2">
      <c r="A126" t="s">
        <v>88</v>
      </c>
      <c r="B126">
        <v>6</v>
      </c>
      <c r="C126">
        <v>2</v>
      </c>
      <c r="D126" s="26">
        <v>0.8</v>
      </c>
      <c r="E126" s="26">
        <v>0.1</v>
      </c>
      <c r="F126" s="23">
        <f>Demand_Profile[[#This Row],[IND]]+Demand_Profile[[#This Row],[RES]]</f>
        <v>0.9</v>
      </c>
    </row>
    <row r="127" spans="1:6" x14ac:dyDescent="0.2">
      <c r="A127" t="s">
        <v>88</v>
      </c>
      <c r="B127">
        <v>6</v>
      </c>
      <c r="C127">
        <v>3</v>
      </c>
      <c r="D127" s="26">
        <v>0.8</v>
      </c>
      <c r="E127" s="26">
        <v>0.1</v>
      </c>
      <c r="F127" s="23">
        <f>Demand_Profile[[#This Row],[IND]]+Demand_Profile[[#This Row],[RES]]</f>
        <v>0.9</v>
      </c>
    </row>
    <row r="128" spans="1:6" x14ac:dyDescent="0.2">
      <c r="A128" t="s">
        <v>88</v>
      </c>
      <c r="B128">
        <v>6</v>
      </c>
      <c r="C128">
        <v>4</v>
      </c>
      <c r="D128" s="26">
        <v>0.8</v>
      </c>
      <c r="E128" s="26">
        <v>0.1</v>
      </c>
      <c r="F128" s="23">
        <f>Demand_Profile[[#This Row],[IND]]+Demand_Profile[[#This Row],[RES]]</f>
        <v>0.9</v>
      </c>
    </row>
    <row r="129" spans="1:6" x14ac:dyDescent="0.2">
      <c r="A129" t="s">
        <v>88</v>
      </c>
      <c r="B129">
        <v>6</v>
      </c>
      <c r="C129">
        <v>5</v>
      </c>
      <c r="D129" s="26">
        <v>0.8</v>
      </c>
      <c r="E129" s="26">
        <v>0.1</v>
      </c>
      <c r="F129" s="23">
        <f>Demand_Profile[[#This Row],[IND]]+Demand_Profile[[#This Row],[RES]]</f>
        <v>0.9</v>
      </c>
    </row>
    <row r="130" spans="1:6" x14ac:dyDescent="0.2">
      <c r="A130" t="s">
        <v>88</v>
      </c>
      <c r="B130">
        <v>6</v>
      </c>
      <c r="C130">
        <v>6</v>
      </c>
      <c r="D130" s="26">
        <v>0.8</v>
      </c>
      <c r="E130" s="26">
        <v>0.1</v>
      </c>
      <c r="F130" s="23">
        <f>Demand_Profile[[#This Row],[IND]]+Demand_Profile[[#This Row],[RES]]</f>
        <v>0.9</v>
      </c>
    </row>
    <row r="131" spans="1:6" x14ac:dyDescent="0.2">
      <c r="A131" t="s">
        <v>88</v>
      </c>
      <c r="B131">
        <v>6</v>
      </c>
      <c r="C131">
        <v>7</v>
      </c>
      <c r="D131" s="26">
        <v>1.1000000000000001</v>
      </c>
      <c r="E131" s="26">
        <v>0.1</v>
      </c>
      <c r="F131" s="23">
        <f>Demand_Profile[[#This Row],[IND]]+Demand_Profile[[#This Row],[RES]]</f>
        <v>1.2000000000000002</v>
      </c>
    </row>
    <row r="132" spans="1:6" x14ac:dyDescent="0.2">
      <c r="A132" t="s">
        <v>88</v>
      </c>
      <c r="B132">
        <v>6</v>
      </c>
      <c r="C132">
        <v>8</v>
      </c>
      <c r="D132" s="26">
        <v>1.1000000000000001</v>
      </c>
      <c r="E132" s="26">
        <v>0.1</v>
      </c>
      <c r="F132" s="23">
        <f>Demand_Profile[[#This Row],[IND]]+Demand_Profile[[#This Row],[RES]]</f>
        <v>1.2000000000000002</v>
      </c>
    </row>
    <row r="133" spans="1:6" x14ac:dyDescent="0.2">
      <c r="A133" t="s">
        <v>88</v>
      </c>
      <c r="B133">
        <v>6</v>
      </c>
      <c r="C133">
        <v>9</v>
      </c>
      <c r="D133" s="26">
        <v>0.8</v>
      </c>
      <c r="E133" s="26">
        <v>0.1</v>
      </c>
      <c r="F133" s="23">
        <f>Demand_Profile[[#This Row],[IND]]+Demand_Profile[[#This Row],[RES]]</f>
        <v>0.9</v>
      </c>
    </row>
    <row r="134" spans="1:6" x14ac:dyDescent="0.2">
      <c r="A134" t="s">
        <v>88</v>
      </c>
      <c r="B134">
        <v>6</v>
      </c>
      <c r="C134">
        <v>10</v>
      </c>
      <c r="D134" s="26">
        <v>0.8</v>
      </c>
      <c r="E134" s="26">
        <v>0.1</v>
      </c>
      <c r="F134" s="23">
        <f>Demand_Profile[[#This Row],[IND]]+Demand_Profile[[#This Row],[RES]]</f>
        <v>0.9</v>
      </c>
    </row>
    <row r="135" spans="1:6" x14ac:dyDescent="0.2">
      <c r="A135" t="s">
        <v>88</v>
      </c>
      <c r="B135">
        <v>6</v>
      </c>
      <c r="C135">
        <v>11</v>
      </c>
      <c r="D135" s="26">
        <v>0.8</v>
      </c>
      <c r="E135" s="26">
        <v>0.1</v>
      </c>
      <c r="F135" s="23">
        <f>Demand_Profile[[#This Row],[IND]]+Demand_Profile[[#This Row],[RES]]</f>
        <v>0.9</v>
      </c>
    </row>
    <row r="136" spans="1:6" x14ac:dyDescent="0.2">
      <c r="A136" t="s">
        <v>88</v>
      </c>
      <c r="B136">
        <v>6</v>
      </c>
      <c r="C136">
        <v>12</v>
      </c>
      <c r="D136" s="26">
        <v>0.8</v>
      </c>
      <c r="E136" s="26">
        <v>0.1</v>
      </c>
      <c r="F136" s="23">
        <f>Demand_Profile[[#This Row],[IND]]+Demand_Profile[[#This Row],[RES]]</f>
        <v>0.9</v>
      </c>
    </row>
    <row r="137" spans="1:6" x14ac:dyDescent="0.2">
      <c r="A137" t="s">
        <v>88</v>
      </c>
      <c r="B137">
        <v>6</v>
      </c>
      <c r="C137">
        <v>13</v>
      </c>
      <c r="D137" s="26">
        <v>0.8</v>
      </c>
      <c r="E137" s="26">
        <v>0.1</v>
      </c>
      <c r="F137" s="23">
        <f>Demand_Profile[[#This Row],[IND]]+Demand_Profile[[#This Row],[RES]]</f>
        <v>0.9</v>
      </c>
    </row>
    <row r="138" spans="1:6" x14ac:dyDescent="0.2">
      <c r="A138" t="s">
        <v>88</v>
      </c>
      <c r="B138">
        <v>6</v>
      </c>
      <c r="C138">
        <v>14</v>
      </c>
      <c r="D138" s="26">
        <v>0.8</v>
      </c>
      <c r="E138" s="26">
        <v>0.1</v>
      </c>
      <c r="F138" s="23">
        <f>Demand_Profile[[#This Row],[IND]]+Demand_Profile[[#This Row],[RES]]</f>
        <v>0.9</v>
      </c>
    </row>
    <row r="139" spans="1:6" x14ac:dyDescent="0.2">
      <c r="A139" t="s">
        <v>88</v>
      </c>
      <c r="B139">
        <v>6</v>
      </c>
      <c r="C139">
        <v>15</v>
      </c>
      <c r="D139" s="26">
        <v>0.8</v>
      </c>
      <c r="E139" s="26">
        <v>0.1</v>
      </c>
      <c r="F139" s="23">
        <f>Demand_Profile[[#This Row],[IND]]+Demand_Profile[[#This Row],[RES]]</f>
        <v>0.9</v>
      </c>
    </row>
    <row r="140" spans="1:6" x14ac:dyDescent="0.2">
      <c r="A140" t="s">
        <v>88</v>
      </c>
      <c r="B140">
        <v>6</v>
      </c>
      <c r="C140">
        <v>16</v>
      </c>
      <c r="D140" s="26">
        <v>0.8</v>
      </c>
      <c r="E140" s="26">
        <v>0.1</v>
      </c>
      <c r="F140" s="23">
        <f>Demand_Profile[[#This Row],[IND]]+Demand_Profile[[#This Row],[RES]]</f>
        <v>0.9</v>
      </c>
    </row>
    <row r="141" spans="1:6" x14ac:dyDescent="0.2">
      <c r="A141" t="s">
        <v>88</v>
      </c>
      <c r="B141">
        <v>6</v>
      </c>
      <c r="C141">
        <v>17</v>
      </c>
      <c r="D141" s="26">
        <v>0.8</v>
      </c>
      <c r="E141" s="26">
        <v>0.1</v>
      </c>
      <c r="F141" s="23">
        <f>Demand_Profile[[#This Row],[IND]]+Demand_Profile[[#This Row],[RES]]</f>
        <v>0.9</v>
      </c>
    </row>
    <row r="142" spans="1:6" x14ac:dyDescent="0.2">
      <c r="A142" t="s">
        <v>88</v>
      </c>
      <c r="B142">
        <v>6</v>
      </c>
      <c r="C142">
        <v>18</v>
      </c>
      <c r="D142" s="26">
        <v>1.5</v>
      </c>
      <c r="E142" s="26">
        <v>0.1</v>
      </c>
      <c r="F142" s="23">
        <f>Demand_Profile[[#This Row],[IND]]+Demand_Profile[[#This Row],[RES]]</f>
        <v>1.6</v>
      </c>
    </row>
    <row r="143" spans="1:6" x14ac:dyDescent="0.2">
      <c r="A143" t="s">
        <v>88</v>
      </c>
      <c r="B143">
        <v>6</v>
      </c>
      <c r="C143">
        <v>19</v>
      </c>
      <c r="D143" s="26">
        <v>1.5</v>
      </c>
      <c r="E143" s="26">
        <v>0.1</v>
      </c>
      <c r="F143" s="23">
        <f>Demand_Profile[[#This Row],[IND]]+Demand_Profile[[#This Row],[RES]]</f>
        <v>1.6</v>
      </c>
    </row>
    <row r="144" spans="1:6" x14ac:dyDescent="0.2">
      <c r="A144" t="s">
        <v>88</v>
      </c>
      <c r="B144">
        <v>6</v>
      </c>
      <c r="C144">
        <v>20</v>
      </c>
      <c r="D144" s="26">
        <v>1.5</v>
      </c>
      <c r="E144" s="26">
        <v>0.1</v>
      </c>
      <c r="F144" s="23">
        <f>Demand_Profile[[#This Row],[IND]]+Demand_Profile[[#This Row],[RES]]</f>
        <v>1.6</v>
      </c>
    </row>
    <row r="145" spans="1:6" x14ac:dyDescent="0.2">
      <c r="A145" t="s">
        <v>88</v>
      </c>
      <c r="B145">
        <v>6</v>
      </c>
      <c r="C145">
        <v>21</v>
      </c>
      <c r="D145" s="26">
        <v>0.8</v>
      </c>
      <c r="E145" s="26">
        <v>0.1</v>
      </c>
      <c r="F145" s="23">
        <f>Demand_Profile[[#This Row],[IND]]+Demand_Profile[[#This Row],[RES]]</f>
        <v>0.9</v>
      </c>
    </row>
    <row r="146" spans="1:6" x14ac:dyDescent="0.2">
      <c r="A146" t="s">
        <v>88</v>
      </c>
      <c r="B146">
        <v>6</v>
      </c>
      <c r="C146">
        <v>22</v>
      </c>
      <c r="D146" s="26">
        <v>0.8</v>
      </c>
      <c r="E146" s="26">
        <v>0.1</v>
      </c>
      <c r="F146" s="23">
        <f>Demand_Profile[[#This Row],[IND]]+Demand_Profile[[#This Row],[RES]]</f>
        <v>0.9</v>
      </c>
    </row>
    <row r="147" spans="1:6" x14ac:dyDescent="0.2">
      <c r="A147" t="s">
        <v>88</v>
      </c>
      <c r="B147">
        <v>6</v>
      </c>
      <c r="C147">
        <v>23</v>
      </c>
      <c r="D147" s="26">
        <v>0.8</v>
      </c>
      <c r="E147" s="26">
        <v>0.1</v>
      </c>
      <c r="F147" s="23">
        <f>Demand_Profile[[#This Row],[IND]]+Demand_Profile[[#This Row],[RES]]</f>
        <v>0.9</v>
      </c>
    </row>
    <row r="148" spans="1:6" x14ac:dyDescent="0.2">
      <c r="A148" t="s">
        <v>89</v>
      </c>
      <c r="B148">
        <v>7</v>
      </c>
      <c r="C148">
        <v>0</v>
      </c>
      <c r="D148" s="26">
        <v>0.8</v>
      </c>
      <c r="E148" s="26">
        <v>0.1</v>
      </c>
      <c r="F148" s="23">
        <f>Demand_Profile[[#This Row],[IND]]+Demand_Profile[[#This Row],[RES]]</f>
        <v>0.9</v>
      </c>
    </row>
    <row r="149" spans="1:6" x14ac:dyDescent="0.2">
      <c r="A149" t="s">
        <v>89</v>
      </c>
      <c r="B149">
        <v>7</v>
      </c>
      <c r="C149">
        <v>1</v>
      </c>
      <c r="D149" s="26">
        <v>0.8</v>
      </c>
      <c r="E149" s="26">
        <v>0.1</v>
      </c>
      <c r="F149" s="23">
        <f>Demand_Profile[[#This Row],[IND]]+Demand_Profile[[#This Row],[RES]]</f>
        <v>0.9</v>
      </c>
    </row>
    <row r="150" spans="1:6" x14ac:dyDescent="0.2">
      <c r="A150" t="s">
        <v>89</v>
      </c>
      <c r="B150">
        <v>7</v>
      </c>
      <c r="C150">
        <v>2</v>
      </c>
      <c r="D150" s="26">
        <v>0.8</v>
      </c>
      <c r="E150" s="26">
        <v>0.1</v>
      </c>
      <c r="F150" s="23">
        <f>Demand_Profile[[#This Row],[IND]]+Demand_Profile[[#This Row],[RES]]</f>
        <v>0.9</v>
      </c>
    </row>
    <row r="151" spans="1:6" x14ac:dyDescent="0.2">
      <c r="A151" t="s">
        <v>89</v>
      </c>
      <c r="B151">
        <v>7</v>
      </c>
      <c r="C151">
        <v>3</v>
      </c>
      <c r="D151" s="26">
        <v>0.8</v>
      </c>
      <c r="E151" s="26">
        <v>0.1</v>
      </c>
      <c r="F151" s="23">
        <f>Demand_Profile[[#This Row],[IND]]+Demand_Profile[[#This Row],[RES]]</f>
        <v>0.9</v>
      </c>
    </row>
    <row r="152" spans="1:6" x14ac:dyDescent="0.2">
      <c r="A152" t="s">
        <v>89</v>
      </c>
      <c r="B152">
        <v>7</v>
      </c>
      <c r="C152">
        <v>4</v>
      </c>
      <c r="D152" s="26">
        <v>0.8</v>
      </c>
      <c r="E152" s="26">
        <v>0.1</v>
      </c>
      <c r="F152" s="23">
        <f>Demand_Profile[[#This Row],[IND]]+Demand_Profile[[#This Row],[RES]]</f>
        <v>0.9</v>
      </c>
    </row>
    <row r="153" spans="1:6" x14ac:dyDescent="0.2">
      <c r="A153" t="s">
        <v>89</v>
      </c>
      <c r="B153">
        <v>7</v>
      </c>
      <c r="C153">
        <v>5</v>
      </c>
      <c r="D153" s="26">
        <v>0.8</v>
      </c>
      <c r="E153" s="26">
        <v>0.1</v>
      </c>
      <c r="F153" s="23">
        <f>Demand_Profile[[#This Row],[IND]]+Demand_Profile[[#This Row],[RES]]</f>
        <v>0.9</v>
      </c>
    </row>
    <row r="154" spans="1:6" x14ac:dyDescent="0.2">
      <c r="A154" t="s">
        <v>89</v>
      </c>
      <c r="B154">
        <v>7</v>
      </c>
      <c r="C154">
        <v>6</v>
      </c>
      <c r="D154" s="26">
        <v>0.8</v>
      </c>
      <c r="E154" s="26">
        <v>0.1</v>
      </c>
      <c r="F154" s="23">
        <f>Demand_Profile[[#This Row],[IND]]+Demand_Profile[[#This Row],[RES]]</f>
        <v>0.9</v>
      </c>
    </row>
    <row r="155" spans="1:6" x14ac:dyDescent="0.2">
      <c r="A155" t="s">
        <v>89</v>
      </c>
      <c r="B155">
        <v>7</v>
      </c>
      <c r="C155">
        <v>7</v>
      </c>
      <c r="D155" s="26">
        <v>1.1000000000000001</v>
      </c>
      <c r="E155" s="26">
        <v>0.1</v>
      </c>
      <c r="F155" s="23">
        <f>Demand_Profile[[#This Row],[IND]]+Demand_Profile[[#This Row],[RES]]</f>
        <v>1.2000000000000002</v>
      </c>
    </row>
    <row r="156" spans="1:6" x14ac:dyDescent="0.2">
      <c r="A156" t="s">
        <v>89</v>
      </c>
      <c r="B156">
        <v>7</v>
      </c>
      <c r="C156">
        <v>8</v>
      </c>
      <c r="D156" s="26">
        <v>1.1000000000000001</v>
      </c>
      <c r="E156" s="26">
        <v>0.1</v>
      </c>
      <c r="F156" s="23">
        <f>Demand_Profile[[#This Row],[IND]]+Demand_Profile[[#This Row],[RES]]</f>
        <v>1.2000000000000002</v>
      </c>
    </row>
    <row r="157" spans="1:6" x14ac:dyDescent="0.2">
      <c r="A157" t="s">
        <v>89</v>
      </c>
      <c r="B157">
        <v>7</v>
      </c>
      <c r="C157">
        <v>9</v>
      </c>
      <c r="D157" s="26">
        <v>0.8</v>
      </c>
      <c r="E157" s="26">
        <v>0.1</v>
      </c>
      <c r="F157" s="23">
        <f>Demand_Profile[[#This Row],[IND]]+Demand_Profile[[#This Row],[RES]]</f>
        <v>0.9</v>
      </c>
    </row>
    <row r="158" spans="1:6" x14ac:dyDescent="0.2">
      <c r="A158" t="s">
        <v>89</v>
      </c>
      <c r="B158">
        <v>7</v>
      </c>
      <c r="C158">
        <v>10</v>
      </c>
      <c r="D158" s="26">
        <v>0.8</v>
      </c>
      <c r="E158" s="26">
        <v>0.1</v>
      </c>
      <c r="F158" s="23">
        <f>Demand_Profile[[#This Row],[IND]]+Demand_Profile[[#This Row],[RES]]</f>
        <v>0.9</v>
      </c>
    </row>
    <row r="159" spans="1:6" x14ac:dyDescent="0.2">
      <c r="A159" t="s">
        <v>89</v>
      </c>
      <c r="B159">
        <v>7</v>
      </c>
      <c r="C159">
        <v>11</v>
      </c>
      <c r="D159" s="26">
        <v>0.8</v>
      </c>
      <c r="E159" s="26">
        <v>0.1</v>
      </c>
      <c r="F159" s="23">
        <f>Demand_Profile[[#This Row],[IND]]+Demand_Profile[[#This Row],[RES]]</f>
        <v>0.9</v>
      </c>
    </row>
    <row r="160" spans="1:6" x14ac:dyDescent="0.2">
      <c r="A160" t="s">
        <v>89</v>
      </c>
      <c r="B160">
        <v>7</v>
      </c>
      <c r="C160">
        <v>12</v>
      </c>
      <c r="D160" s="26">
        <v>0.8</v>
      </c>
      <c r="E160" s="26">
        <v>0.1</v>
      </c>
      <c r="F160" s="23">
        <f>Demand_Profile[[#This Row],[IND]]+Demand_Profile[[#This Row],[RES]]</f>
        <v>0.9</v>
      </c>
    </row>
    <row r="161" spans="1:6" x14ac:dyDescent="0.2">
      <c r="A161" t="s">
        <v>89</v>
      </c>
      <c r="B161">
        <v>7</v>
      </c>
      <c r="C161">
        <v>13</v>
      </c>
      <c r="D161" s="26">
        <v>0.8</v>
      </c>
      <c r="E161" s="26">
        <v>0.1</v>
      </c>
      <c r="F161" s="23">
        <f>Demand_Profile[[#This Row],[IND]]+Demand_Profile[[#This Row],[RES]]</f>
        <v>0.9</v>
      </c>
    </row>
    <row r="162" spans="1:6" x14ac:dyDescent="0.2">
      <c r="A162" t="s">
        <v>89</v>
      </c>
      <c r="B162">
        <v>7</v>
      </c>
      <c r="C162">
        <v>14</v>
      </c>
      <c r="D162" s="26">
        <v>0.8</v>
      </c>
      <c r="E162" s="26">
        <v>0.1</v>
      </c>
      <c r="F162" s="23">
        <f>Demand_Profile[[#This Row],[IND]]+Demand_Profile[[#This Row],[RES]]</f>
        <v>0.9</v>
      </c>
    </row>
    <row r="163" spans="1:6" x14ac:dyDescent="0.2">
      <c r="A163" t="s">
        <v>89</v>
      </c>
      <c r="B163">
        <v>7</v>
      </c>
      <c r="C163">
        <v>15</v>
      </c>
      <c r="D163" s="26">
        <v>0.8</v>
      </c>
      <c r="E163" s="26">
        <v>0.1</v>
      </c>
      <c r="F163" s="23">
        <f>Demand_Profile[[#This Row],[IND]]+Demand_Profile[[#This Row],[RES]]</f>
        <v>0.9</v>
      </c>
    </row>
    <row r="164" spans="1:6" x14ac:dyDescent="0.2">
      <c r="A164" t="s">
        <v>89</v>
      </c>
      <c r="B164">
        <v>7</v>
      </c>
      <c r="C164">
        <v>16</v>
      </c>
      <c r="D164" s="26">
        <v>0.8</v>
      </c>
      <c r="E164" s="26">
        <v>0.1</v>
      </c>
      <c r="F164" s="23">
        <f>Demand_Profile[[#This Row],[IND]]+Demand_Profile[[#This Row],[RES]]</f>
        <v>0.9</v>
      </c>
    </row>
    <row r="165" spans="1:6" x14ac:dyDescent="0.2">
      <c r="A165" t="s">
        <v>89</v>
      </c>
      <c r="B165">
        <v>7</v>
      </c>
      <c r="C165">
        <v>17</v>
      </c>
      <c r="D165" s="26">
        <v>0.8</v>
      </c>
      <c r="E165" s="26">
        <v>0.1</v>
      </c>
      <c r="F165" s="23">
        <f>Demand_Profile[[#This Row],[IND]]+Demand_Profile[[#This Row],[RES]]</f>
        <v>0.9</v>
      </c>
    </row>
    <row r="166" spans="1:6" x14ac:dyDescent="0.2">
      <c r="A166" t="s">
        <v>89</v>
      </c>
      <c r="B166">
        <v>7</v>
      </c>
      <c r="C166">
        <v>18</v>
      </c>
      <c r="D166" s="26">
        <v>1.5</v>
      </c>
      <c r="E166" s="26">
        <v>0.1</v>
      </c>
      <c r="F166" s="23">
        <f>Demand_Profile[[#This Row],[IND]]+Demand_Profile[[#This Row],[RES]]</f>
        <v>1.6</v>
      </c>
    </row>
    <row r="167" spans="1:6" x14ac:dyDescent="0.2">
      <c r="A167" t="s">
        <v>89</v>
      </c>
      <c r="B167">
        <v>7</v>
      </c>
      <c r="C167">
        <v>19</v>
      </c>
      <c r="D167" s="26">
        <v>1.5</v>
      </c>
      <c r="E167" s="26">
        <v>0.1</v>
      </c>
      <c r="F167" s="23">
        <f>Demand_Profile[[#This Row],[IND]]+Demand_Profile[[#This Row],[RES]]</f>
        <v>1.6</v>
      </c>
    </row>
    <row r="168" spans="1:6" x14ac:dyDescent="0.2">
      <c r="A168" t="s">
        <v>89</v>
      </c>
      <c r="B168">
        <v>7</v>
      </c>
      <c r="C168">
        <v>20</v>
      </c>
      <c r="D168" s="26">
        <v>1.5</v>
      </c>
      <c r="E168" s="26">
        <v>0.1</v>
      </c>
      <c r="F168" s="23">
        <f>Demand_Profile[[#This Row],[IND]]+Demand_Profile[[#This Row],[RES]]</f>
        <v>1.6</v>
      </c>
    </row>
    <row r="169" spans="1:6" x14ac:dyDescent="0.2">
      <c r="A169" t="s">
        <v>89</v>
      </c>
      <c r="B169">
        <v>7</v>
      </c>
      <c r="C169">
        <v>21</v>
      </c>
      <c r="D169" s="26">
        <v>0.8</v>
      </c>
      <c r="E169" s="26">
        <v>0.1</v>
      </c>
      <c r="F169" s="23">
        <f>Demand_Profile[[#This Row],[IND]]+Demand_Profile[[#This Row],[RES]]</f>
        <v>0.9</v>
      </c>
    </row>
    <row r="170" spans="1:6" x14ac:dyDescent="0.2">
      <c r="A170" t="s">
        <v>89</v>
      </c>
      <c r="B170">
        <v>7</v>
      </c>
      <c r="C170">
        <v>22</v>
      </c>
      <c r="D170" s="26">
        <v>0.8</v>
      </c>
      <c r="E170" s="26">
        <v>0.1</v>
      </c>
      <c r="F170" s="23">
        <f>Demand_Profile[[#This Row],[IND]]+Demand_Profile[[#This Row],[RES]]</f>
        <v>0.9</v>
      </c>
    </row>
    <row r="171" spans="1:6" x14ac:dyDescent="0.2">
      <c r="A171" t="s">
        <v>89</v>
      </c>
      <c r="B171">
        <v>7</v>
      </c>
      <c r="C171">
        <v>23</v>
      </c>
      <c r="D171" s="26">
        <v>0.8</v>
      </c>
      <c r="E171" s="26">
        <v>0.1</v>
      </c>
      <c r="F171" s="23">
        <f>Demand_Profile[[#This Row],[IND]]+Demand_Profile[[#This Row],[RES]]</f>
        <v>0.9</v>
      </c>
    </row>
  </sheetData>
  <mergeCells count="5">
    <mergeCell ref="A2:F2"/>
    <mergeCell ref="H2:K2"/>
    <mergeCell ref="M2:S2"/>
    <mergeCell ref="U2:W2"/>
    <mergeCell ref="Y2:Z2"/>
  </mergeCells>
  <dataValidations count="1">
    <dataValidation type="list" allowBlank="1" showInputMessage="1" showErrorMessage="1" sqref="N1" xr:uid="{7FA8A0F1-01D6-FA47-ABD0-13AF4E6FA6F4}">
      <formula1>"Residencial,Industrial,Mixta"</formula1>
    </dataValidation>
  </dataValidations>
  <pageMargins left="0.75" right="0.75" top="1" bottom="1" header="0.5" footer="0.5"/>
  <drawing r:id="rId1"/>
  <legacyDrawing r:id="rId2"/>
  <tableParts count="7">
    <tablePart r:id="rId3"/>
    <tablePart r:id="rId4"/>
    <tablePart r:id="rId5"/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"/>
  <sheetViews>
    <sheetView tabSelected="1" topLeftCell="E1" zoomScale="164" workbookViewId="0">
      <selection activeCell="N9" sqref="N9"/>
    </sheetView>
  </sheetViews>
  <sheetFormatPr baseColWidth="10" defaultColWidth="8.83203125" defaultRowHeight="15" x14ac:dyDescent="0.2"/>
  <cols>
    <col min="2" max="2" width="9" customWidth="1"/>
    <col min="3" max="3" width="12.6640625" customWidth="1"/>
    <col min="4" max="4" width="12.83203125" customWidth="1"/>
    <col min="5" max="5" width="10.5" customWidth="1"/>
    <col min="6" max="6" width="12.1640625" customWidth="1"/>
    <col min="7" max="7" width="9.5" customWidth="1"/>
    <col min="8" max="8" width="14.83203125" customWidth="1"/>
    <col min="11" max="11" width="11.33203125" customWidth="1"/>
    <col min="12" max="12" width="10" customWidth="1"/>
    <col min="13" max="13" width="13.5" customWidth="1"/>
    <col min="14" max="15" width="12.5" bestFit="1" customWidth="1"/>
  </cols>
  <sheetData>
    <row r="1" spans="1:15" x14ac:dyDescent="0.2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J1" t="s">
        <v>34</v>
      </c>
      <c r="K1" t="s">
        <v>47</v>
      </c>
      <c r="L1" t="s">
        <v>48</v>
      </c>
      <c r="M1" t="s">
        <v>202</v>
      </c>
      <c r="N1" t="s">
        <v>203</v>
      </c>
      <c r="O1" t="s">
        <v>41</v>
      </c>
    </row>
    <row r="2" spans="1:15" x14ac:dyDescent="0.2">
      <c r="A2" t="s">
        <v>42</v>
      </c>
      <c r="B2">
        <v>5</v>
      </c>
      <c r="C2">
        <v>200</v>
      </c>
      <c r="D2" s="1">
        <v>800</v>
      </c>
      <c r="E2" s="1">
        <v>1000</v>
      </c>
      <c r="F2" s="1">
        <v>13</v>
      </c>
      <c r="G2" s="1">
        <v>2</v>
      </c>
      <c r="H2" s="2">
        <v>5500000</v>
      </c>
      <c r="J2" t="str">
        <f>"BAT-"&amp;Battery_Catalog[[#This Row],[nom_kWh]]</f>
        <v>BAT-5</v>
      </c>
      <c r="K2">
        <v>5</v>
      </c>
      <c r="L2">
        <v>3</v>
      </c>
      <c r="M2">
        <v>3</v>
      </c>
      <c r="N2">
        <v>3</v>
      </c>
      <c r="O2" s="2">
        <v>7000000</v>
      </c>
    </row>
    <row r="3" spans="1:15" x14ac:dyDescent="0.2">
      <c r="A3" t="s">
        <v>43</v>
      </c>
      <c r="B3">
        <v>8</v>
      </c>
      <c r="C3">
        <v>250</v>
      </c>
      <c r="D3" s="1">
        <v>850</v>
      </c>
      <c r="E3" s="1">
        <v>1000</v>
      </c>
      <c r="F3" s="1">
        <v>18</v>
      </c>
      <c r="G3" s="1">
        <v>2</v>
      </c>
      <c r="H3" s="2">
        <v>7800000</v>
      </c>
      <c r="J3" t="s">
        <v>49</v>
      </c>
      <c r="K3">
        <v>10</v>
      </c>
      <c r="L3">
        <v>5</v>
      </c>
      <c r="M3">
        <v>5</v>
      </c>
      <c r="N3">
        <v>5</v>
      </c>
      <c r="O3" s="2">
        <v>12500000</v>
      </c>
    </row>
    <row r="4" spans="1:15" x14ac:dyDescent="0.2">
      <c r="A4" t="s">
        <v>44</v>
      </c>
      <c r="B4">
        <v>10</v>
      </c>
      <c r="C4">
        <v>250</v>
      </c>
      <c r="D4" s="1">
        <v>850</v>
      </c>
      <c r="E4" s="1">
        <v>1100</v>
      </c>
      <c r="F4" s="1">
        <v>18</v>
      </c>
      <c r="G4" s="1">
        <v>2</v>
      </c>
      <c r="H4" s="2">
        <v>9300000</v>
      </c>
      <c r="J4" t="s">
        <v>50</v>
      </c>
      <c r="K4">
        <v>15</v>
      </c>
      <c r="L4">
        <v>7.5</v>
      </c>
      <c r="M4">
        <v>7.5</v>
      </c>
      <c r="N4">
        <v>7.5</v>
      </c>
      <c r="O4" s="2">
        <v>17500000</v>
      </c>
    </row>
    <row r="5" spans="1:15" x14ac:dyDescent="0.2">
      <c r="A5" t="s">
        <v>45</v>
      </c>
      <c r="B5">
        <v>12</v>
      </c>
      <c r="C5">
        <v>300</v>
      </c>
      <c r="D5" s="1">
        <v>900</v>
      </c>
      <c r="E5" s="1">
        <v>1100</v>
      </c>
      <c r="F5" s="1">
        <v>22</v>
      </c>
      <c r="G5" s="1">
        <v>2</v>
      </c>
      <c r="H5" s="2">
        <v>10700000</v>
      </c>
      <c r="J5" t="s">
        <v>51</v>
      </c>
      <c r="K5">
        <v>20</v>
      </c>
      <c r="L5">
        <v>10</v>
      </c>
      <c r="M5">
        <v>10</v>
      </c>
      <c r="N5">
        <v>10</v>
      </c>
      <c r="O5" s="2">
        <v>21500000</v>
      </c>
    </row>
    <row r="6" spans="1:15" x14ac:dyDescent="0.2">
      <c r="A6" t="s">
        <v>46</v>
      </c>
      <c r="B6">
        <v>15</v>
      </c>
      <c r="C6">
        <v>350</v>
      </c>
      <c r="D6" s="1">
        <v>1000</v>
      </c>
      <c r="E6" s="1">
        <v>1100</v>
      </c>
      <c r="F6" s="1">
        <v>26</v>
      </c>
      <c r="G6" s="1">
        <v>2</v>
      </c>
      <c r="H6" s="2">
        <v>13500000</v>
      </c>
      <c r="J6" t="s">
        <v>187</v>
      </c>
      <c r="K6">
        <v>25</v>
      </c>
      <c r="L6">
        <v>12</v>
      </c>
      <c r="M6">
        <v>12</v>
      </c>
      <c r="N6">
        <v>12</v>
      </c>
      <c r="O6" s="2">
        <v>26750000</v>
      </c>
    </row>
    <row r="7" spans="1:15" x14ac:dyDescent="0.2">
      <c r="A7" t="str">
        <f>"INV-"&amp;Inversor_Catalog[[#This Row],[Imax_mppt]]&amp;"k"</f>
        <v>INV-40k</v>
      </c>
      <c r="B7">
        <v>30</v>
      </c>
      <c r="C7">
        <v>350</v>
      </c>
      <c r="D7" s="1">
        <v>1000</v>
      </c>
      <c r="E7" s="1">
        <v>1100</v>
      </c>
      <c r="F7" s="37">
        <v>40</v>
      </c>
      <c r="G7" s="37">
        <v>2</v>
      </c>
      <c r="H7" s="38">
        <v>30000000</v>
      </c>
      <c r="J7" t="s">
        <v>188</v>
      </c>
      <c r="K7">
        <v>30</v>
      </c>
      <c r="L7">
        <v>18</v>
      </c>
      <c r="M7">
        <v>18</v>
      </c>
      <c r="N7">
        <v>18</v>
      </c>
      <c r="O7" s="2">
        <v>31600000</v>
      </c>
    </row>
    <row r="8" spans="1:15" x14ac:dyDescent="0.2">
      <c r="A8" t="str">
        <f>"INV-"&amp;Inversor_Catalog[[#This Row],[Imax_mppt]]&amp;"k"</f>
        <v>INV-60k</v>
      </c>
      <c r="B8">
        <v>50</v>
      </c>
      <c r="C8">
        <v>350</v>
      </c>
      <c r="D8" s="1">
        <v>1000</v>
      </c>
      <c r="E8" s="1">
        <v>1100</v>
      </c>
      <c r="F8" s="37">
        <v>60</v>
      </c>
      <c r="G8" s="37">
        <v>2</v>
      </c>
      <c r="H8" s="38">
        <v>40000000</v>
      </c>
      <c r="J8" t="s">
        <v>189</v>
      </c>
      <c r="K8">
        <v>35</v>
      </c>
      <c r="L8">
        <v>24</v>
      </c>
      <c r="M8">
        <v>24</v>
      </c>
      <c r="N8">
        <v>24</v>
      </c>
      <c r="O8" s="2">
        <v>36450000</v>
      </c>
    </row>
    <row r="9" spans="1:15" x14ac:dyDescent="0.2">
      <c r="A9" t="str">
        <f>"INV-"&amp;Inversor_Catalog[[#This Row],[Imax_mppt]]&amp;"k"</f>
        <v>INV-90k</v>
      </c>
      <c r="B9">
        <v>70</v>
      </c>
      <c r="C9">
        <v>350</v>
      </c>
      <c r="D9" s="1">
        <v>1000</v>
      </c>
      <c r="E9" s="1">
        <v>1100</v>
      </c>
      <c r="F9" s="37">
        <v>90</v>
      </c>
      <c r="G9" s="37">
        <v>2</v>
      </c>
      <c r="H9" s="38">
        <v>60000000</v>
      </c>
      <c r="J9" t="s">
        <v>190</v>
      </c>
      <c r="K9">
        <v>40</v>
      </c>
      <c r="L9">
        <v>30</v>
      </c>
      <c r="M9">
        <v>30</v>
      </c>
      <c r="N9">
        <v>30</v>
      </c>
      <c r="O9" s="2">
        <v>41300000</v>
      </c>
    </row>
    <row r="10" spans="1:15" x14ac:dyDescent="0.2">
      <c r="A10" t="str">
        <f>"INV-"&amp;Inversor_Catalog[[#This Row],[Imax_mppt]]&amp;"k"</f>
        <v>INV-100k</v>
      </c>
      <c r="B10">
        <v>80</v>
      </c>
      <c r="C10">
        <v>350</v>
      </c>
      <c r="D10" s="1">
        <v>1000</v>
      </c>
      <c r="E10" s="1">
        <v>1100</v>
      </c>
      <c r="F10" s="37">
        <v>100</v>
      </c>
      <c r="G10" s="37">
        <v>2</v>
      </c>
      <c r="H10" s="38">
        <v>70000000</v>
      </c>
      <c r="J10" t="s">
        <v>191</v>
      </c>
      <c r="K10">
        <v>45</v>
      </c>
      <c r="L10">
        <v>36</v>
      </c>
      <c r="M10">
        <v>36</v>
      </c>
      <c r="N10">
        <v>36</v>
      </c>
      <c r="O10" s="2">
        <v>46150000</v>
      </c>
    </row>
    <row r="11" spans="1:15" x14ac:dyDescent="0.2">
      <c r="A11" t="str">
        <f>"INV-"&amp;Inversor_Catalog[[#This Row],[Imax_mppt]]&amp;"k"</f>
        <v>INV-120k</v>
      </c>
      <c r="B11">
        <v>95</v>
      </c>
      <c r="C11">
        <v>350</v>
      </c>
      <c r="D11" s="1">
        <v>1000</v>
      </c>
      <c r="E11" s="1">
        <v>1100</v>
      </c>
      <c r="F11" s="37">
        <v>120</v>
      </c>
      <c r="G11" s="37">
        <v>2</v>
      </c>
      <c r="H11" s="38">
        <v>90000000</v>
      </c>
      <c r="J11" t="s">
        <v>192</v>
      </c>
      <c r="K11">
        <v>50</v>
      </c>
      <c r="L11">
        <v>42</v>
      </c>
      <c r="M11">
        <v>42</v>
      </c>
      <c r="N11">
        <v>42</v>
      </c>
      <c r="O11" s="2">
        <v>51000000</v>
      </c>
    </row>
    <row r="12" spans="1:15" x14ac:dyDescent="0.2">
      <c r="A12" t="str">
        <f>"INV-"&amp;Inversor_Catalog[[#This Row],[Imax_mppt]]&amp;"k"</f>
        <v>INV-140k</v>
      </c>
      <c r="B12">
        <v>110</v>
      </c>
      <c r="C12">
        <v>350</v>
      </c>
      <c r="D12" s="1">
        <v>1000</v>
      </c>
      <c r="E12" s="1">
        <v>1100</v>
      </c>
      <c r="F12" s="37">
        <v>140</v>
      </c>
      <c r="G12" s="37">
        <v>2</v>
      </c>
      <c r="H12" s="38">
        <v>95000000</v>
      </c>
      <c r="J12" t="s">
        <v>193</v>
      </c>
      <c r="K12">
        <v>55</v>
      </c>
      <c r="L12">
        <v>48</v>
      </c>
      <c r="M12">
        <v>48</v>
      </c>
      <c r="N12">
        <v>48</v>
      </c>
      <c r="O12" s="2">
        <v>55850000</v>
      </c>
    </row>
    <row r="13" spans="1:15" x14ac:dyDescent="0.2">
      <c r="A13" t="str">
        <f>"INV-"&amp;Inversor_Catalog[[#This Row],[Imax_mppt]]&amp;"k"</f>
        <v>INV-150k</v>
      </c>
      <c r="B13">
        <v>130</v>
      </c>
      <c r="C13">
        <v>350</v>
      </c>
      <c r="D13" s="1">
        <v>1000</v>
      </c>
      <c r="E13" s="1">
        <v>1100</v>
      </c>
      <c r="F13" s="37">
        <v>150</v>
      </c>
      <c r="G13" s="37">
        <v>2</v>
      </c>
      <c r="H13" s="38">
        <v>110000000</v>
      </c>
      <c r="J13" t="s">
        <v>194</v>
      </c>
      <c r="K13">
        <v>60</v>
      </c>
      <c r="L13">
        <v>54</v>
      </c>
      <c r="M13">
        <v>54</v>
      </c>
      <c r="N13">
        <v>54</v>
      </c>
      <c r="O13" s="2">
        <v>60700000</v>
      </c>
    </row>
    <row r="14" spans="1:15" x14ac:dyDescent="0.2">
      <c r="A14" t="str">
        <f>"INV-"&amp;Inversor_Catalog[[#This Row],[Imax_mppt]]&amp;"k"</f>
        <v>INV-180k</v>
      </c>
      <c r="B14">
        <v>150</v>
      </c>
      <c r="C14">
        <v>350</v>
      </c>
      <c r="D14" s="1">
        <v>1000</v>
      </c>
      <c r="E14" s="1">
        <v>1100</v>
      </c>
      <c r="F14" s="37">
        <v>180</v>
      </c>
      <c r="G14" s="37">
        <v>2</v>
      </c>
      <c r="H14" s="38">
        <v>120000000</v>
      </c>
      <c r="J14" t="s">
        <v>195</v>
      </c>
      <c r="K14">
        <v>65</v>
      </c>
      <c r="L14">
        <v>60</v>
      </c>
      <c r="M14">
        <v>60</v>
      </c>
      <c r="N14">
        <v>60</v>
      </c>
      <c r="O14" s="2">
        <v>65550000</v>
      </c>
    </row>
    <row r="15" spans="1:15" x14ac:dyDescent="0.2">
      <c r="J15" t="s">
        <v>196</v>
      </c>
      <c r="K15">
        <v>70</v>
      </c>
      <c r="L15">
        <v>66</v>
      </c>
      <c r="M15">
        <v>66</v>
      </c>
      <c r="N15">
        <v>66</v>
      </c>
      <c r="O15" s="2">
        <v>70400000</v>
      </c>
    </row>
    <row r="16" spans="1:15" x14ac:dyDescent="0.2">
      <c r="J16" t="s">
        <v>197</v>
      </c>
      <c r="K16">
        <v>75</v>
      </c>
      <c r="L16">
        <v>72</v>
      </c>
      <c r="M16">
        <v>72</v>
      </c>
      <c r="N16">
        <v>72</v>
      </c>
      <c r="O16" s="2">
        <v>75250000</v>
      </c>
    </row>
    <row r="17" spans="10:15" x14ac:dyDescent="0.2">
      <c r="J17" t="s">
        <v>198</v>
      </c>
      <c r="K17">
        <v>80</v>
      </c>
      <c r="L17">
        <v>78</v>
      </c>
      <c r="M17">
        <v>78</v>
      </c>
      <c r="N17">
        <v>78</v>
      </c>
      <c r="O17" s="2">
        <v>80100000</v>
      </c>
    </row>
  </sheetData>
  <phoneticPr fontId="10" type="noConversion"/>
  <pageMargins left="0.75" right="0.75" top="1" bottom="1" header="0.5" footer="0.5"/>
  <legacy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Config</vt:lpstr>
      <vt:lpstr>Perfiles</vt:lpstr>
      <vt:lpstr>Catalogos</vt:lpstr>
      <vt:lpstr>alpha_mix</vt:lpstr>
      <vt:lpstr>C_Bat_kWh</vt:lpstr>
      <vt:lpstr>E_mes</vt:lpstr>
      <vt:lpstr>Tipo_Perfil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Rivera Bueno</cp:lastModifiedBy>
  <dcterms:created xsi:type="dcterms:W3CDTF">2025-09-04T17:18:00Z</dcterms:created>
  <dcterms:modified xsi:type="dcterms:W3CDTF">2025-09-16T21:20:59Z</dcterms:modified>
</cp:coreProperties>
</file>